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kash yadav\Desktop\"/>
    </mc:Choice>
  </mc:AlternateContent>
  <xr:revisionPtr revIDLastSave="0" documentId="13_ncr:1_{21D30F47-7AFB-4CE6-A567-198DC8F6EC6C}" xr6:coauthVersionLast="47" xr6:coauthVersionMax="47" xr10:uidLastSave="{00000000-0000-0000-0000-000000000000}"/>
  <bookViews>
    <workbookView xWindow="-108" yWindow="-108" windowWidth="23256" windowHeight="12456" firstSheet="3" activeTab="5" xr2:uid="{E58B9AE3-2F95-4B1B-8AE1-B71CBFF8FE02}"/>
  </bookViews>
  <sheets>
    <sheet name="Region wise Pivot" sheetId="4" r:id="rId1"/>
    <sheet name="Category wise sales Analysis" sheetId="5" r:id="rId2"/>
    <sheet name="Monthly Sales Trend" sheetId="6" r:id="rId3"/>
    <sheet name="Customer Segment wise sales" sheetId="7" r:id="rId4"/>
    <sheet name="DASHBOARD" sheetId="8" r:id="rId5"/>
    <sheet name="Cleaned Data" sheetId="1" r:id="rId6"/>
    <sheet name="EDA Analysis" sheetId="2" r:id="rId7"/>
    <sheet name="Category wise Pivot Table" sheetId="3" r:id="rId8"/>
  </sheets>
  <definedNames>
    <definedName name="ExternalData_1" localSheetId="5" hidden="1">'Cleaned Data'!$A$1:$R$1231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8" l="1"/>
  <c r="G11" i="8"/>
  <c r="E11" i="8"/>
  <c r="C11" i="8"/>
  <c r="A11" i="8"/>
  <c r="B6" i="2"/>
  <c r="B5" i="2"/>
  <c r="B4" i="2"/>
  <c r="B3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BE21A-D249-47AB-A4CD-1C37F5C8D995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<sst xmlns="http://schemas.openxmlformats.org/spreadsheetml/2006/main" count="16116" uniqueCount="4686">
  <si>
    <t>Order ID</t>
  </si>
  <si>
    <t>Order Date</t>
  </si>
  <si>
    <t>Ship Date</t>
  </si>
  <si>
    <t>Month &amp; Year Order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</si>
  <si>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</si>
  <si>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</si>
  <si>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</si>
  <si>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</si>
  <si>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</si>
  <si>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</si>
  <si>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</si>
  <si>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</si>
  <si>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</si>
  <si>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</si>
  <si>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</si>
  <si>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</si>
  <si>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</si>
  <si>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</si>
  <si>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</si>
  <si>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</si>
  <si>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</si>
  <si>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</si>
  <si>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</si>
  <si>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</si>
  <si>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</si>
  <si>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</si>
  <si>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</si>
  <si>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</si>
  <si>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</si>
  <si>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</si>
  <si>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</si>
  <si>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</si>
  <si>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</si>
  <si>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</si>
  <si>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</si>
  <si>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</si>
  <si>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</si>
  <si>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</si>
  <si>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</si>
  <si>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</si>
  <si>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</si>
  <si>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</si>
  <si>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</si>
  <si>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</si>
  <si>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</si>
  <si>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</si>
  <si>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</si>
  <si>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</si>
  <si>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</si>
  <si>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</si>
  <si>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</si>
  <si>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</si>
  <si>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</si>
  <si>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</si>
  <si>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</si>
  <si>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</si>
  <si>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</si>
  <si>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</si>
  <si>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</si>
  <si>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</si>
  <si>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</si>
  <si>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</si>
  <si>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</si>
  <si>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</si>
  <si>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</si>
  <si>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</si>
  <si>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</si>
  <si>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</si>
  <si>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</si>
  <si>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</si>
  <si>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</si>
  <si>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</si>
  <si>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</si>
  <si>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</si>
  <si>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</si>
  <si>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</si>
  <si>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</si>
  <si>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</si>
  <si>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</si>
  <si>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</si>
  <si>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</si>
  <si>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</si>
  <si>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</si>
  <si>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</si>
  <si>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</si>
  <si>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</si>
  <si>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</si>
  <si>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</si>
  <si>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</si>
  <si>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</si>
  <si>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</si>
  <si>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</si>
  <si>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</si>
  <si>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</si>
  <si>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</si>
  <si>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</si>
  <si>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</si>
  <si>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</si>
  <si>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</si>
  <si>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</si>
  <si>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</si>
  <si>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</si>
  <si>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</si>
  <si>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</si>
  <si>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</si>
  <si>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</si>
  <si>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</si>
  <si>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</si>
  <si>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</si>
  <si>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</si>
  <si>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</si>
  <si>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</si>
  <si>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</si>
  <si>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</si>
  <si>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</si>
  <si>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</si>
  <si>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</si>
  <si>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</si>
  <si>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</si>
  <si>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</si>
  <si>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</si>
  <si>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</si>
  <si>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</si>
  <si>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</si>
  <si>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</si>
  <si>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</si>
  <si>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</si>
  <si>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</si>
  <si>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</si>
  <si>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</si>
  <si>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US-2016-150630</t>
  </si>
  <si>
    <t>TB-21520</t>
  </si>
  <si>
    <t>Tracy Blumstein</t>
  </si>
  <si>
    <t>FUR-BO-10004834</t>
  </si>
  <si>
    <t>Riverside Palais Royal Lawyers Bookcase, Royale Cherry Finish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</si>
  <si>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</si>
  <si>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</si>
  <si>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</si>
  <si>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</si>
  <si>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</si>
  <si>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</si>
  <si>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</si>
  <si>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</si>
  <si>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</si>
  <si>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</si>
  <si>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</si>
  <si>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</si>
  <si>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</si>
  <si>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</si>
  <si>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</si>
  <si>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</si>
  <si>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</si>
  <si>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</si>
  <si>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</si>
  <si>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</si>
  <si>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</si>
  <si>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</si>
  <si>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</si>
  <si>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</si>
  <si>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</si>
  <si>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</si>
  <si>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</si>
  <si>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</si>
  <si>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</si>
  <si>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</si>
  <si>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</si>
  <si>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</si>
  <si>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</si>
  <si>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</si>
  <si>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</si>
  <si>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</si>
  <si>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</si>
  <si>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</si>
  <si>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</si>
  <si>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</si>
  <si>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</si>
  <si>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</si>
  <si>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</si>
  <si>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</si>
  <si>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</si>
  <si>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</si>
  <si>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</si>
  <si>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</si>
  <si>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</si>
  <si>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</si>
  <si>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</si>
  <si>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</si>
  <si>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</si>
  <si>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</si>
  <si>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</si>
  <si>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</si>
  <si>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</si>
  <si>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</si>
  <si>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</si>
  <si>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</si>
  <si>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</si>
  <si>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</si>
  <si>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</si>
  <si>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</si>
  <si>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</si>
  <si>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</si>
  <si>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</si>
  <si>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</si>
  <si>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</si>
  <si>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</si>
  <si>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</si>
  <si>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</si>
  <si>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</si>
  <si>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</si>
  <si>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</si>
  <si>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</si>
  <si>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</si>
  <si>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</si>
  <si>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</si>
  <si>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</si>
  <si>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</si>
  <si>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</si>
  <si>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CA-2016-135545</t>
  </si>
  <si>
    <t>KM-16720</t>
  </si>
  <si>
    <t>Kunst Miller</t>
  </si>
  <si>
    <t>TEC-AC-10004633</t>
  </si>
  <si>
    <t>Verbatim 25 GB 6x Blu-ray Single Layer Recordable Disc, 3/Pack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</si>
  <si>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</si>
  <si>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</si>
  <si>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</si>
  <si>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</si>
  <si>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</si>
  <si>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</si>
  <si>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</si>
  <si>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</si>
  <si>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</si>
  <si>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</si>
  <si>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</si>
  <si>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</si>
  <si>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</si>
  <si>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</si>
  <si>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</si>
  <si>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</si>
  <si>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</si>
  <si>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</si>
  <si>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</si>
  <si>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</si>
  <si>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</si>
  <si>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</si>
  <si>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</si>
  <si>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</si>
  <si>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</si>
  <si>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</si>
  <si>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</si>
  <si>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</si>
  <si>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</si>
  <si>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</si>
  <si>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</si>
  <si>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</si>
  <si>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</si>
  <si>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</si>
  <si>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</si>
  <si>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</si>
  <si>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</si>
  <si>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KB-16600</t>
  </si>
  <si>
    <t>Ken Brennan</t>
  </si>
  <si>
    <t>OFF-BI-10004182</t>
  </si>
  <si>
    <t>Economy Binders</t>
  </si>
  <si>
    <t>US-2015-147606</t>
  </si>
  <si>
    <t>FUR-FU-10003194</t>
  </si>
  <si>
    <t>Eldon Expressions Desk Accessory, Wood Pencil Holder, Oak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</si>
  <si>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</si>
  <si>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</si>
  <si>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</si>
  <si>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</si>
  <si>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</si>
  <si>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</si>
  <si>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</si>
  <si>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</si>
  <si>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</si>
  <si>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</si>
  <si>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</si>
  <si>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</si>
  <si>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</si>
  <si>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</si>
  <si>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</si>
  <si>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</si>
  <si>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</si>
  <si>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</si>
  <si>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</si>
  <si>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</si>
  <si>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</si>
  <si>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</si>
  <si>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</si>
  <si>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</si>
  <si>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</si>
  <si>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</si>
  <si>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</si>
  <si>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</si>
  <si>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</si>
  <si>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</si>
  <si>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</si>
  <si>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</si>
  <si>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</si>
  <si>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</si>
  <si>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</si>
  <si>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</si>
  <si>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</si>
  <si>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CA-2016-149587</t>
  </si>
  <si>
    <t>KB-16315</t>
  </si>
  <si>
    <t>Karl Braun</t>
  </si>
  <si>
    <t>Minneapolis</t>
  </si>
  <si>
    <t>OFF-PA-10003177</t>
  </si>
  <si>
    <t>Xerox 1999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</si>
  <si>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</si>
  <si>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</si>
  <si>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</si>
  <si>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</si>
  <si>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</si>
  <si>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</si>
  <si>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</si>
  <si>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</si>
  <si>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</si>
  <si>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</si>
  <si>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</si>
  <si>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</si>
  <si>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</si>
  <si>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</si>
  <si>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</si>
  <si>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</si>
  <si>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</si>
  <si>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</si>
  <si>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</si>
  <si>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</si>
  <si>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</si>
  <si>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</si>
  <si>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</si>
  <si>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</si>
  <si>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</si>
  <si>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</si>
  <si>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</si>
  <si>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</si>
  <si>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</si>
  <si>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</si>
  <si>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</si>
  <si>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</si>
  <si>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</si>
  <si>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</si>
  <si>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</si>
  <si>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</si>
  <si>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</si>
  <si>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</si>
  <si>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</si>
  <si>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</si>
  <si>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</si>
  <si>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</si>
  <si>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</si>
  <si>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</si>
  <si>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</si>
  <si>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</si>
  <si>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</si>
  <si>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</si>
  <si>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</si>
  <si>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</si>
  <si>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</si>
  <si>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</si>
  <si>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</si>
  <si>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</si>
  <si>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</si>
  <si>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</si>
  <si>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</si>
  <si>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</si>
  <si>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</si>
  <si>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</si>
  <si>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</si>
  <si>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</si>
  <si>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</si>
  <si>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</si>
  <si>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</si>
  <si>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</si>
  <si>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</si>
  <si>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</si>
  <si>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</si>
  <si>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</si>
  <si>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</si>
  <si>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</si>
  <si>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</si>
  <si>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</si>
  <si>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</si>
  <si>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</si>
  <si>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</si>
  <si>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</si>
  <si>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</si>
  <si>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</si>
  <si>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</si>
  <si>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</si>
  <si>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</si>
  <si>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</si>
  <si>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</si>
  <si>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</si>
  <si>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</si>
  <si>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</si>
  <si>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</si>
  <si>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</si>
  <si>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</si>
  <si>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</si>
  <si>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</si>
  <si>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</si>
  <si>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</si>
  <si>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</si>
  <si>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</si>
  <si>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</si>
  <si>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</si>
  <si>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</si>
  <si>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</si>
  <si>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</si>
  <si>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Global Task Chair, Black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</si>
  <si>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</si>
  <si>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</si>
  <si>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</si>
  <si>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</si>
  <si>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</si>
  <si>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</si>
  <si>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LC-16885</t>
  </si>
  <si>
    <t>Lena Creighton</t>
  </si>
  <si>
    <t>Roseville</t>
  </si>
  <si>
    <t>OFF-PA-10001804</t>
  </si>
  <si>
    <t>Xerox 195</t>
  </si>
  <si>
    <t>CA-2017-110366</t>
  </si>
  <si>
    <t>JD-15895</t>
  </si>
  <si>
    <t>Jonathan Doherty</t>
  </si>
  <si>
    <t>FUR-FU-10004848</t>
  </si>
  <si>
    <t>Howard Miller 13-3/4" Diameter Brushed Chrome Round Wall Clock</t>
  </si>
  <si>
    <t>CA-2018-106180</t>
  </si>
  <si>
    <t>SH-19975</t>
  </si>
  <si>
    <t>Sally Hughsby</t>
  </si>
  <si>
    <t>OFF-AR-10000940</t>
  </si>
  <si>
    <t>Newell 343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</si>
  <si>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</si>
  <si>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</si>
  <si>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</si>
  <si>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</si>
  <si>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</si>
  <si>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</si>
  <si>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</si>
  <si>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</si>
  <si>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</si>
  <si>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</si>
  <si>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</si>
  <si>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</si>
  <si>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</si>
  <si>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</si>
  <si>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</si>
  <si>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</si>
  <si>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</si>
  <si>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</si>
  <si>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</si>
  <si>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</si>
  <si>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</si>
  <si>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</si>
  <si>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</si>
  <si>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</si>
  <si>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</si>
  <si>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</si>
  <si>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</si>
  <si>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</si>
  <si>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</si>
  <si>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</si>
  <si>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</si>
  <si>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</si>
  <si>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</si>
  <si>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</si>
  <si>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</si>
  <si>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</si>
  <si>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</si>
  <si>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</si>
  <si>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</si>
  <si>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</si>
  <si>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</si>
  <si>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</si>
  <si>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</si>
  <si>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</si>
  <si>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</si>
  <si>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</si>
  <si>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</si>
  <si>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</si>
  <si>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</si>
  <si>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</si>
  <si>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</si>
  <si>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</si>
  <si>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</si>
  <si>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</si>
  <si>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</si>
  <si>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</si>
  <si>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</si>
  <si>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</si>
  <si>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</si>
  <si>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</si>
  <si>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</si>
  <si>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</si>
  <si>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</si>
  <si>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</si>
  <si>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</si>
  <si>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</si>
  <si>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</si>
  <si>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</si>
  <si>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</si>
  <si>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</si>
  <si>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</si>
  <si>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</si>
  <si>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</si>
  <si>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</si>
  <si>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</si>
  <si>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</si>
  <si>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</si>
  <si>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US-2015-100853</t>
  </si>
  <si>
    <t>JB-15400</t>
  </si>
  <si>
    <t>Jennifer Braxton</t>
  </si>
  <si>
    <t>OFF-AP-10000891</t>
  </si>
  <si>
    <t>Kensington 7 Outlet MasterPiece HOMEOFFICE Power Control Center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</si>
  <si>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</si>
  <si>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</si>
  <si>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</si>
  <si>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</si>
  <si>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</si>
  <si>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</si>
  <si>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</si>
  <si>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</si>
  <si>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CA-2016-137225</t>
  </si>
  <si>
    <t>JK-15640</t>
  </si>
  <si>
    <t>Jim Kriz</t>
  </si>
  <si>
    <t>OFF-AR-10001940</t>
  </si>
  <si>
    <t>Sanford Colorific Eraseable Coloring Pencils, 12 Count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</si>
  <si>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</si>
  <si>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</si>
  <si>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</si>
  <si>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</si>
  <si>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</si>
  <si>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</si>
  <si>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</si>
  <si>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</si>
  <si>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</si>
  <si>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</si>
  <si>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</si>
  <si>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</si>
  <si>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</si>
  <si>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</si>
  <si>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</si>
  <si>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</si>
  <si>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</si>
  <si>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</si>
  <si>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</si>
  <si>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</si>
  <si>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</si>
  <si>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</si>
  <si>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</si>
  <si>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</si>
  <si>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</si>
  <si>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</si>
  <si>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</si>
  <si>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</si>
  <si>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</si>
  <si>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</si>
  <si>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CA-2016-131457</t>
  </si>
  <si>
    <t>MZ-17515</t>
  </si>
  <si>
    <t>Mary Zewe</t>
  </si>
  <si>
    <t>Redlands</t>
  </si>
  <si>
    <t>OFF-EN-10001509</t>
  </si>
  <si>
    <t>Poly String Tie Envelopes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</si>
  <si>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</si>
  <si>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</si>
  <si>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</si>
  <si>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</si>
  <si>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</si>
  <si>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</si>
  <si>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US-2018-124303</t>
  </si>
  <si>
    <t>FH-14365</t>
  </si>
  <si>
    <t>Fred Hopkins</t>
  </si>
  <si>
    <t>OFF-BI-10000343</t>
  </si>
  <si>
    <t>Pressboard Covers with Storage Hooks, 9 1/2" x 11", Light Blue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</si>
  <si>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</si>
  <si>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</si>
  <si>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</si>
  <si>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</si>
  <si>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</si>
  <si>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</si>
  <si>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</si>
  <si>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</si>
  <si>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</si>
  <si>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</si>
  <si>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</si>
  <si>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</si>
  <si>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</si>
  <si>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</si>
  <si>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</si>
  <si>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</si>
  <si>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</si>
  <si>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</si>
  <si>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</si>
  <si>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</si>
  <si>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</si>
  <si>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Franklin</t>
  </si>
  <si>
    <t>FUR-FU-10002960</t>
  </si>
  <si>
    <t>Eldon 200 Class Desk Accessories, Burgundy</t>
  </si>
  <si>
    <t>CA-2018-135860</t>
  </si>
  <si>
    <t>JH-15985</t>
  </si>
  <si>
    <t>Joseph Holt</t>
  </si>
  <si>
    <t>Saginaw</t>
  </si>
  <si>
    <t>OFF-ST-10000642</t>
  </si>
  <si>
    <t>Tennsco Lockers, Gray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</si>
  <si>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</si>
  <si>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</si>
  <si>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</si>
  <si>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</si>
  <si>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</si>
  <si>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</si>
  <si>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</si>
  <si>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</si>
  <si>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</si>
  <si>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</si>
  <si>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</si>
  <si>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CA-2017-130162</t>
  </si>
  <si>
    <t>JH-15910</t>
  </si>
  <si>
    <t>Jonathan Howell</t>
  </si>
  <si>
    <t>CA-2016-169397</t>
  </si>
  <si>
    <t>JB-15925</t>
  </si>
  <si>
    <t>Joni Blumstein</t>
  </si>
  <si>
    <t>Dublin</t>
  </si>
  <si>
    <t>OFF-FA-10000585</t>
  </si>
  <si>
    <t>OIC Bulk Pack Metal Binder Clips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</si>
  <si>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</si>
  <si>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</si>
  <si>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</si>
  <si>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</si>
  <si>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</si>
  <si>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</si>
  <si>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</si>
  <si>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VD-21670</t>
  </si>
  <si>
    <t>Valerie Dominguez</t>
  </si>
  <si>
    <t>FUR-CH-10004860</t>
  </si>
  <si>
    <t>Global Low Back Tilter Chair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</si>
  <si>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</si>
  <si>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</si>
  <si>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</si>
  <si>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</si>
  <si>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</si>
  <si>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</si>
  <si>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</si>
  <si>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</si>
  <si>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</si>
  <si>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</si>
  <si>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</si>
  <si>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</si>
  <si>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</si>
  <si>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</si>
  <si>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</si>
  <si>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CA-2015-131926</t>
  </si>
  <si>
    <t>DW-13480</t>
  </si>
  <si>
    <t>Dianna Wilson</t>
  </si>
  <si>
    <t>Lakeville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</si>
  <si>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</si>
  <si>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</si>
  <si>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</si>
  <si>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</si>
  <si>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</si>
  <si>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</si>
  <si>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</si>
  <si>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</si>
  <si>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</si>
  <si>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</si>
  <si>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</si>
  <si>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US-2016-159982</t>
  </si>
  <si>
    <t>DR-12880</t>
  </si>
  <si>
    <t>Dan Reichenbach</t>
  </si>
  <si>
    <t>FUR-FU-10002505</t>
  </si>
  <si>
    <t>Eldon 100 Class Desk Accessories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</si>
  <si>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</si>
  <si>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</si>
  <si>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</si>
  <si>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</si>
  <si>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</si>
  <si>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</si>
  <si>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</si>
  <si>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</si>
  <si>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TEC-MA-10000822</t>
  </si>
  <si>
    <t>Machines</t>
  </si>
  <si>
    <t>Lexmark MX611dhe Monochrome Laser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</si>
  <si>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</si>
  <si>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</si>
  <si>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</si>
  <si>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</si>
  <si>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</si>
  <si>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</si>
  <si>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</si>
  <si>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</si>
  <si>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</si>
  <si>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</si>
  <si>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</si>
  <si>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</si>
  <si>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</si>
  <si>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</si>
  <si>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</si>
  <si>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</si>
  <si>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</si>
  <si>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</si>
  <si>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</si>
  <si>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New Jersey</t>
  </si>
  <si>
    <t>OFF-FA-10003472</t>
  </si>
  <si>
    <t>Bagged Rubber Bands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</si>
  <si>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</si>
  <si>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</si>
  <si>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</si>
  <si>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</si>
  <si>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</si>
  <si>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</si>
  <si>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</si>
  <si>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</si>
  <si>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</si>
  <si>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</si>
  <si>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</si>
  <si>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</si>
  <si>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</si>
  <si>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</si>
  <si>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</si>
  <si>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</si>
  <si>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</si>
  <si>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</si>
  <si>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</si>
  <si>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US-2016-161991</t>
  </si>
  <si>
    <t>SC-20725</t>
  </si>
  <si>
    <t>Steven Cartwright</t>
  </si>
  <si>
    <t>OFF-BI-10004967</t>
  </si>
  <si>
    <t>Round Ring Binders</t>
  </si>
  <si>
    <t>CA-2016-130890</t>
  </si>
  <si>
    <t>JO-15280</t>
  </si>
  <si>
    <t>Jas O'Carroll</t>
  </si>
  <si>
    <t>FUR-TA-10002903</t>
  </si>
  <si>
    <t>Bevis Round Bullnose 29" High Table Top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</si>
  <si>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</si>
  <si>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</si>
  <si>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</si>
  <si>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</si>
  <si>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</si>
  <si>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</si>
  <si>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</si>
  <si>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</si>
  <si>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</si>
  <si>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</si>
  <si>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</si>
  <si>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</si>
  <si>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</si>
  <si>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</si>
  <si>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</si>
  <si>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</si>
  <si>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</si>
  <si>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</si>
  <si>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</si>
  <si>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</si>
  <si>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</si>
  <si>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</si>
  <si>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</si>
  <si>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</si>
  <si>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</si>
  <si>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</si>
  <si>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</si>
  <si>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</si>
  <si>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</si>
  <si>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</si>
  <si>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</si>
  <si>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</si>
  <si>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</si>
  <si>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</si>
  <si>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</si>
  <si>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</si>
  <si>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</si>
  <si>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</si>
  <si>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</si>
  <si>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</si>
  <si>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</si>
  <si>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</si>
  <si>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</si>
  <si>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</si>
  <si>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</si>
  <si>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</si>
  <si>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CA-2017-162138</t>
  </si>
  <si>
    <t>GK-14620</t>
  </si>
  <si>
    <t>Grace Kelly</t>
  </si>
  <si>
    <t>Hesperia</t>
  </si>
  <si>
    <t>OFF-BI-10004593</t>
  </si>
  <si>
    <t>Ibico Laser Imprintable Binding System Covers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</si>
  <si>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</si>
  <si>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</si>
  <si>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</si>
  <si>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</si>
  <si>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</si>
  <si>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</si>
  <si>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</si>
  <si>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</si>
  <si>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</si>
  <si>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</si>
  <si>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</si>
  <si>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US-2017-150147</t>
  </si>
  <si>
    <t>JL-15850</t>
  </si>
  <si>
    <t>John Lucas</t>
  </si>
  <si>
    <t>TEC-PH-10004614</t>
  </si>
  <si>
    <t>AT&amp;T 841000 Phone</t>
  </si>
  <si>
    <t>CA-2016-137946</t>
  </si>
  <si>
    <t>DB-13615</t>
  </si>
  <si>
    <t>Doug Bickford</t>
  </si>
  <si>
    <t>OFF-BI-10001922</t>
  </si>
  <si>
    <t>Storex Dura Pro Binders</t>
  </si>
  <si>
    <t>CA-2015-129924</t>
  </si>
  <si>
    <t>AC-10420</t>
  </si>
  <si>
    <t>Alyssa Crouse</t>
  </si>
  <si>
    <t>OFF-BI-10003314</t>
  </si>
  <si>
    <t>Tuff Stuff Recycled Round Ring Binders</t>
  </si>
  <si>
    <t>CA-2016-128167</t>
  </si>
  <si>
    <t>KL-16645</t>
  </si>
  <si>
    <t>Ken Lonsdale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</si>
  <si>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</si>
  <si>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</si>
  <si>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</si>
  <si>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</si>
  <si>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</si>
  <si>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</si>
  <si>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</si>
  <si>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</si>
  <si>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</si>
  <si>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</si>
  <si>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</si>
  <si>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</si>
  <si>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</si>
  <si>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</si>
  <si>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</si>
  <si>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</si>
  <si>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</si>
  <si>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</si>
  <si>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</si>
  <si>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AB-10060</t>
  </si>
  <si>
    <t>Adam Bellavance</t>
  </si>
  <si>
    <t>TEC-AC-10000290</t>
  </si>
  <si>
    <t>Sabrent 4-Port USB 2.0 Hub</t>
  </si>
  <si>
    <t>CA-2017-138520</t>
  </si>
  <si>
    <t>JL-15505</t>
  </si>
  <si>
    <t>Jeremy Lonsdale</t>
  </si>
  <si>
    <t>FUR-BO-10002268</t>
  </si>
  <si>
    <t>Sauder Barrister Bookcases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</si>
  <si>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</si>
  <si>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</si>
  <si>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</si>
  <si>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</si>
  <si>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</si>
  <si>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</si>
  <si>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</si>
  <si>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KW-16435</t>
  </si>
  <si>
    <t>Katrina Willman</t>
  </si>
  <si>
    <t>OFF-LA-10001158</t>
  </si>
  <si>
    <t>Avery Address/Shipping Labels for Typewriters, 4" x 2"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</si>
  <si>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</si>
  <si>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</si>
  <si>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</si>
  <si>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</si>
  <si>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</si>
  <si>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</si>
  <si>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</si>
  <si>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</si>
  <si>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</si>
  <si>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</si>
  <si>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CA-2018-104745</t>
  </si>
  <si>
    <t>GT-14755</t>
  </si>
  <si>
    <t>Guy Thornton</t>
  </si>
  <si>
    <t>Harlingen</t>
  </si>
  <si>
    <t>OFF-PA-10002036</t>
  </si>
  <si>
    <t>Xerox 1930</t>
  </si>
  <si>
    <t>US-2015-119137</t>
  </si>
  <si>
    <t>AG-10900</t>
  </si>
  <si>
    <t>Arthur Gainer</t>
  </si>
  <si>
    <t>Tucson</t>
  </si>
  <si>
    <t>OFF-BI-10001982</t>
  </si>
  <si>
    <t>Wilson Jones Custom Binder Spines &amp; Labels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</si>
  <si>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</si>
  <si>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</si>
  <si>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</si>
  <si>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</si>
  <si>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</si>
  <si>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</si>
  <si>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</si>
  <si>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</si>
  <si>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</si>
  <si>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</si>
  <si>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</si>
  <si>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</si>
  <si>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</si>
  <si>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</si>
  <si>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</si>
  <si>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</si>
  <si>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</si>
  <si>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</si>
  <si>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</si>
  <si>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</si>
  <si>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</si>
  <si>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</si>
  <si>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</si>
  <si>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</si>
  <si>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</si>
  <si>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</si>
  <si>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</si>
  <si>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</si>
  <si>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</si>
  <si>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</si>
  <si>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</si>
  <si>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</si>
  <si>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</si>
  <si>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</si>
  <si>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</si>
  <si>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Cincinnati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</si>
  <si>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</si>
  <si>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</si>
  <si>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</si>
  <si>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</si>
  <si>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</si>
  <si>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</si>
  <si>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</si>
  <si>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</si>
  <si>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</si>
  <si>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</si>
  <si>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</si>
  <si>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</si>
  <si>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</si>
  <si>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</si>
  <si>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</si>
  <si>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</si>
  <si>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</si>
  <si>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</si>
  <si>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</si>
  <si>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</si>
  <si>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</si>
  <si>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</si>
  <si>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</si>
  <si>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</si>
  <si>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</si>
  <si>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</si>
  <si>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</si>
  <si>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</si>
  <si>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</si>
  <si>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</si>
  <si>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</si>
  <si>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</si>
  <si>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</si>
  <si>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CA-2017-108987</t>
  </si>
  <si>
    <t>AG-10675</t>
  </si>
  <si>
    <t>Anna Gayman</t>
  </si>
  <si>
    <t>OFF-ST-10001580</t>
  </si>
  <si>
    <t>Super Decoflex Portable Personal File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</si>
  <si>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</si>
  <si>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</si>
  <si>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</si>
  <si>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</si>
  <si>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</si>
  <si>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</si>
  <si>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</si>
  <si>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Wilmington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</si>
  <si>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</si>
  <si>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</si>
  <si>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</si>
  <si>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</si>
  <si>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</si>
  <si>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</si>
  <si>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</si>
  <si>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</si>
  <si>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</si>
  <si>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</si>
  <si>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TEC-AC-10000158</t>
  </si>
  <si>
    <t>Sony 64GB Class 10 Micro SDHC R40 Memory Card</t>
  </si>
  <si>
    <t>CA-2017-148796</t>
  </si>
  <si>
    <t>PB-19150</t>
  </si>
  <si>
    <t>Philip Brown</t>
  </si>
  <si>
    <t>FUR-CH-10004886</t>
  </si>
  <si>
    <t>Bevis Steel Folding Chairs</t>
  </si>
  <si>
    <t>CA-2018-110478</t>
  </si>
  <si>
    <t>OFF-AR-10001573</t>
  </si>
  <si>
    <t>American Pencil</t>
  </si>
  <si>
    <t>CA-2015-142048</t>
  </si>
  <si>
    <t>Louisville</t>
  </si>
  <si>
    <t>TEC-AC-10004114</t>
  </si>
  <si>
    <t>KeyTronic 6101 Series - Keyboard - Black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</si>
  <si>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</si>
  <si>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</si>
  <si>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</si>
  <si>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</si>
  <si>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</si>
  <si>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</si>
  <si>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</si>
  <si>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</si>
  <si>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</si>
  <si>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</si>
  <si>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</si>
  <si>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</si>
  <si>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</si>
  <si>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</si>
  <si>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</si>
  <si>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</si>
  <si>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</si>
  <si>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</si>
  <si>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</si>
  <si>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</si>
  <si>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</si>
  <si>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</si>
  <si>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</si>
  <si>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</si>
  <si>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</si>
  <si>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</si>
  <si>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</si>
  <si>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</si>
  <si>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</si>
  <si>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</si>
  <si>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</si>
  <si>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</si>
  <si>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</si>
  <si>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</si>
  <si>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</si>
  <si>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</si>
  <si>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</si>
  <si>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</si>
  <si>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</si>
  <si>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</si>
  <si>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</si>
  <si>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</si>
  <si>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</si>
  <si>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</si>
  <si>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</si>
  <si>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</si>
  <si>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</si>
  <si>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</si>
  <si>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CA-2018-147277</t>
  </si>
  <si>
    <t>EB-13705</t>
  </si>
  <si>
    <t>Ed Braxton</t>
  </si>
  <si>
    <t>FUR-TA-10001539</t>
  </si>
  <si>
    <t>Chromcraft Rectangular Conference Tables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</si>
  <si>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</si>
  <si>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</si>
  <si>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</si>
  <si>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</si>
  <si>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</si>
  <si>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</si>
  <si>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</si>
  <si>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</si>
  <si>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</si>
  <si>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</si>
  <si>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Decatur</t>
  </si>
  <si>
    <t>FUR-CH-10002331</t>
  </si>
  <si>
    <t>Hon 4700 Series Mobuis Mid-Back Task Chairs with Adjustable Arms</t>
  </si>
  <si>
    <t>CA-2017-109869</t>
  </si>
  <si>
    <t>TN-21040</t>
  </si>
  <si>
    <t>Tanja Norvell</t>
  </si>
  <si>
    <t>FUR-FU-10000023</t>
  </si>
  <si>
    <t>Eldon Wave Desk Accessories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</si>
  <si>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</si>
  <si>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</si>
  <si>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</si>
  <si>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</si>
  <si>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</si>
  <si>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</si>
  <si>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</si>
  <si>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</si>
  <si>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</si>
  <si>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</si>
  <si>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</si>
  <si>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CC-12670</t>
  </si>
  <si>
    <t>Craig Carreira</t>
  </si>
  <si>
    <t>OFF-BI-10002194</t>
  </si>
  <si>
    <t>Cardinal Hold-It CD Pocket</t>
  </si>
  <si>
    <t>CA-2015-144666</t>
  </si>
  <si>
    <t>JP-15520</t>
  </si>
  <si>
    <t>Jeremy Pistek</t>
  </si>
  <si>
    <t>OFF-ST-10002743</t>
  </si>
  <si>
    <t>SAFCO Boltless Steel Shelving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</si>
  <si>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</si>
  <si>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</si>
  <si>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</si>
  <si>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</si>
  <si>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</si>
  <si>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</si>
  <si>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</si>
  <si>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</si>
  <si>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</si>
  <si>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</si>
  <si>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</si>
  <si>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</si>
  <si>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</si>
  <si>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</si>
  <si>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</si>
  <si>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</si>
  <si>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</si>
  <si>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</si>
  <si>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</si>
  <si>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CA-2018-140963</t>
  </si>
  <si>
    <t>MT-18070</t>
  </si>
  <si>
    <t>Michelle Tran</t>
  </si>
  <si>
    <t>OFF-LA-10003923</t>
  </si>
  <si>
    <t>Alphabetical Labels for Top Tab Filing</t>
  </si>
  <si>
    <t>CA-2015-154627</t>
  </si>
  <si>
    <t>SA-20830</t>
  </si>
  <si>
    <t>Sue Ann Reed</t>
  </si>
  <si>
    <t>TEC-PH-10001363</t>
  </si>
  <si>
    <t>Apple iPhone 5S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</si>
  <si>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</si>
  <si>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</si>
  <si>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</si>
  <si>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</si>
  <si>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</si>
  <si>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</si>
  <si>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</si>
  <si>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</si>
  <si>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</si>
  <si>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</si>
  <si>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CA-2017-126158</t>
  </si>
  <si>
    <t>Costa Mesa</t>
  </si>
  <si>
    <t>OFF-BI-10002498</t>
  </si>
  <si>
    <t>Clear Mylar Reinforcing Strips</t>
  </si>
  <si>
    <t>US-2017-105578</t>
  </si>
  <si>
    <t>MY-17380</t>
  </si>
  <si>
    <t>Maribeth Yedwab</t>
  </si>
  <si>
    <t>Parker</t>
  </si>
  <si>
    <t>OFF-BI-10001670</t>
  </si>
  <si>
    <t>Vinyl Sectional Post Binders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</si>
  <si>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</si>
  <si>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</si>
  <si>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</si>
  <si>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</si>
  <si>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</si>
  <si>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</si>
  <si>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</si>
  <si>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</si>
  <si>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</si>
  <si>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</si>
  <si>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</si>
  <si>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</si>
  <si>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CA-2017-106341</t>
  </si>
  <si>
    <t>CA-2018-163405</t>
  </si>
  <si>
    <t>BN-11515</t>
  </si>
  <si>
    <t>Bradley Nguyen</t>
  </si>
  <si>
    <t>OFF-AR-10003811</t>
  </si>
  <si>
    <t>Newell 327</t>
  </si>
  <si>
    <t>CA-2018-127432</t>
  </si>
  <si>
    <t>Great Falls</t>
  </si>
  <si>
    <t>Montana</t>
  </si>
  <si>
    <t>TEC-CO-10003236</t>
  </si>
  <si>
    <t>Copiers</t>
  </si>
  <si>
    <t>Canon Image Class D660 Copier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</si>
  <si>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</si>
  <si>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</si>
  <si>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</si>
  <si>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</si>
  <si>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</si>
  <si>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</si>
  <si>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</si>
  <si>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</si>
  <si>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</si>
  <si>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</si>
  <si>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</si>
  <si>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</si>
  <si>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Lawrence</t>
  </si>
  <si>
    <t>OFF-FA-10002815</t>
  </si>
  <si>
    <t>Staples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</si>
  <si>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</si>
  <si>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</si>
  <si>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</si>
  <si>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</si>
  <si>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</si>
  <si>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</si>
  <si>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</si>
  <si>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</si>
  <si>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</si>
  <si>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</si>
  <si>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</si>
  <si>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</si>
  <si>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</si>
  <si>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</si>
  <si>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</si>
  <si>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</si>
  <si>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</si>
  <si>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</si>
  <si>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</si>
  <si>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</si>
  <si>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Alabama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</si>
  <si>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</si>
  <si>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</si>
  <si>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</si>
  <si>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</si>
  <si>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</si>
  <si>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</si>
  <si>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</si>
  <si>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</si>
  <si>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</si>
  <si>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</si>
  <si>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</si>
  <si>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</si>
  <si>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</si>
  <si>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</si>
  <si>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</si>
  <si>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</si>
  <si>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</si>
  <si>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</si>
  <si>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</si>
  <si>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</si>
  <si>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</si>
  <si>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</si>
  <si>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</si>
  <si>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</si>
  <si>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</si>
  <si>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</si>
  <si>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</si>
  <si>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</si>
  <si>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</si>
  <si>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</si>
  <si>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OFF-ST-10001809</t>
  </si>
  <si>
    <t>Fellowes Officeware Wire Shelving</t>
  </si>
  <si>
    <t>CA-2015-103849</t>
  </si>
  <si>
    <t>TEC-AC-10001465</t>
  </si>
  <si>
    <t>SanDisk Cruzer 64 GB USB Flash Drive</t>
  </si>
  <si>
    <t>CA-2016-113173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</si>
  <si>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</si>
  <si>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</si>
  <si>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</si>
  <si>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</si>
  <si>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</si>
  <si>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</si>
  <si>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</si>
  <si>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</si>
  <si>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</si>
  <si>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</si>
  <si>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</si>
  <si>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</si>
  <si>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</si>
  <si>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</si>
  <si>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</si>
  <si>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</si>
  <si>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</si>
  <si>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</si>
  <si>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</si>
  <si>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</si>
  <si>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</si>
  <si>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</si>
  <si>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CA-2018-118731</t>
  </si>
  <si>
    <t>LP-17080</t>
  </si>
  <si>
    <t>Liz Pelletier</t>
  </si>
  <si>
    <t>FUR-FU-10003347</t>
  </si>
  <si>
    <t>Coloredge Poster Frame</t>
  </si>
  <si>
    <t>CA-2018-137099</t>
  </si>
  <si>
    <t>FP-14320</t>
  </si>
  <si>
    <t>Frank Preis</t>
  </si>
  <si>
    <t>TEC-PH-10002496</t>
  </si>
  <si>
    <t>Cisco SPA301</t>
  </si>
  <si>
    <t>CA-2016-149713</t>
  </si>
  <si>
    <t>TG-21640</t>
  </si>
  <si>
    <t>Trudy Glocke</t>
  </si>
  <si>
    <t>Long Beach</t>
  </si>
  <si>
    <t>OFF-PA-10004530</t>
  </si>
  <si>
    <t>Personal Creations Ink Jet Cards and Labels</t>
  </si>
  <si>
    <t>CA-2018-118640</t>
  </si>
  <si>
    <t>CS-11950</t>
  </si>
  <si>
    <t>Carlos Soltero</t>
  </si>
  <si>
    <t>OFF-ST-10002974</t>
  </si>
  <si>
    <t>Trav-L-File Heavy-Duty Shuttle II, Black</t>
  </si>
  <si>
    <t>CA-2016-132906</t>
  </si>
  <si>
    <t>CC-12145</t>
  </si>
  <si>
    <t>Charles Crestani</t>
  </si>
  <si>
    <t>OFF-SU-10004498</t>
  </si>
  <si>
    <t>Supplies</t>
  </si>
  <si>
    <t>Martin-Yale Premier Letter Opener</t>
  </si>
  <si>
    <t>CA-2016-128139</t>
  </si>
  <si>
    <t>BD-11725</t>
  </si>
  <si>
    <t>Bruce Degenhardt</t>
  </si>
  <si>
    <t>Richmond</t>
  </si>
  <si>
    <t>FUR-CH-10003956</t>
  </si>
  <si>
    <t>Novimex High-Tech Fabric Mesh Task Chair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</si>
  <si>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</si>
  <si>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</si>
  <si>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</si>
  <si>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</si>
  <si>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</si>
  <si>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</si>
  <si>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</si>
  <si>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</si>
  <si>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</si>
  <si>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</si>
  <si>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</si>
  <si>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</si>
  <si>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</si>
  <si>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</si>
  <si>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</si>
  <si>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</si>
  <si>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</si>
  <si>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CA-2015-149958</t>
  </si>
  <si>
    <t>AS-10240</t>
  </si>
  <si>
    <t>Alan Shonely</t>
  </si>
  <si>
    <t>OFF-ST-10001490</t>
  </si>
  <si>
    <t>Hot File 7-Pocket, Floor Stand</t>
  </si>
  <si>
    <t>US-2015-105767</t>
  </si>
  <si>
    <t>AR-10510</t>
  </si>
  <si>
    <t>Andrew Roberts</t>
  </si>
  <si>
    <t>OFF-BI-10000848</t>
  </si>
  <si>
    <t>Angle-D Ring Binders</t>
  </si>
  <si>
    <t>CA-2017-161816</t>
  </si>
  <si>
    <t>NB-18655</t>
  </si>
  <si>
    <t>Nona Balk</t>
  </si>
  <si>
    <t>CA-2018-138611</t>
  </si>
  <si>
    <t>CK-12595</t>
  </si>
  <si>
    <t>Clytie Kelty</t>
  </si>
  <si>
    <t>Grove City</t>
  </si>
  <si>
    <t>TEC-PH-10000011</t>
  </si>
  <si>
    <t>PureGear Roll-On Screen Protector</t>
  </si>
  <si>
    <t>CA-2018-117947</t>
  </si>
  <si>
    <t>NG-18355</t>
  </si>
  <si>
    <t>Nat Gilpin</t>
  </si>
  <si>
    <t>FUR-FU-10003849</t>
  </si>
  <si>
    <t>DAX Metal Frame, Desktop, Stepped-Edge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</si>
  <si>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</si>
  <si>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</si>
  <si>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</si>
  <si>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</si>
  <si>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</si>
  <si>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</si>
  <si>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CA-2018-153787</t>
  </si>
  <si>
    <t>AT-10735</t>
  </si>
  <si>
    <t>Annie Thurman</t>
  </si>
  <si>
    <t>OFF-AP-10001563</t>
  </si>
  <si>
    <t>Belkin Premiere Surge Master II 8-outlet surge protector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</si>
  <si>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</si>
  <si>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</si>
  <si>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</si>
  <si>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</si>
  <si>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</si>
  <si>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</si>
  <si>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</si>
  <si>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</si>
  <si>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</si>
  <si>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</si>
  <si>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</si>
  <si>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</si>
  <si>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</si>
  <si>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</si>
  <si>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CA-2017-115917</t>
  </si>
  <si>
    <t>Vallejo</t>
  </si>
  <si>
    <t>FUR-FU-10000576</t>
  </si>
  <si>
    <t>Luxo Professional Fluorescent Magnifier Lamp with Clamp-Mount Base</t>
  </si>
  <si>
    <t>CA-2018-167913</t>
  </si>
  <si>
    <t>JL-15835</t>
  </si>
  <si>
    <t>John Lee</t>
  </si>
  <si>
    <t>Mission Viejo</t>
  </si>
  <si>
    <t>OFF-ST-10000585</t>
  </si>
  <si>
    <t>Economy Rollaway Files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</si>
  <si>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</si>
  <si>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</si>
  <si>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</si>
  <si>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</si>
  <si>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</si>
  <si>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</si>
  <si>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</si>
  <si>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</si>
  <si>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</si>
  <si>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CA-2017-132661</t>
  </si>
  <si>
    <t>SR-20740</t>
  </si>
  <si>
    <t>Steven Roelle</t>
  </si>
  <si>
    <t>CA-2018-140844</t>
  </si>
  <si>
    <t>OFF-PA-10003892</t>
  </si>
  <si>
    <t>Xerox 1943</t>
  </si>
  <si>
    <t>CA-2017-137239</t>
  </si>
  <si>
    <t>CR-12730</t>
  </si>
  <si>
    <t>Craig Reiter</t>
  </si>
  <si>
    <t>OFF-AP-10002439</t>
  </si>
  <si>
    <t>Tripp Lite Isotel 8 Ultra 8 Outlet Metal Surge</t>
  </si>
  <si>
    <t>US-2017-156097</t>
  </si>
  <si>
    <t>EH-14125</t>
  </si>
  <si>
    <t>Eugene Hildebrand</t>
  </si>
  <si>
    <t>FUR-CH-10001215</t>
  </si>
  <si>
    <t>Global Troy Executive Leather Low-Back Tilter</t>
  </si>
  <si>
    <t>CA-2016-146563</t>
  </si>
  <si>
    <t>Arlington</t>
  </si>
  <si>
    <t>CA-2017-123666</t>
  </si>
  <si>
    <t>SP-20545</t>
  </si>
  <si>
    <t>Sibella Parks</t>
  </si>
  <si>
    <t>OFF-ST-10001522</t>
  </si>
  <si>
    <t>Gould Plastics 18-Pocket Panel Bin, 34w x 5-1/4d x 20-1/2h</t>
  </si>
  <si>
    <t>CA-2017-143308</t>
  </si>
  <si>
    <t>US-2018-106663</t>
  </si>
  <si>
    <t>MO-17800</t>
  </si>
  <si>
    <t>Meg O'Connel</t>
  </si>
  <si>
    <t>FUR-FU-10002759</t>
  </si>
  <si>
    <t>12-1/2 Diameter Round Wall Clock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</si>
  <si>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</si>
  <si>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</si>
  <si>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</si>
  <si>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</si>
  <si>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</si>
  <si>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</si>
  <si>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CD-11980</t>
  </si>
  <si>
    <t>Carol Darley</t>
  </si>
  <si>
    <t>Tyler</t>
  </si>
  <si>
    <t>OFF-AP-10000804</t>
  </si>
  <si>
    <t>Hoover Portapower Portable Vacuum</t>
  </si>
  <si>
    <t>CA-2017-164511</t>
  </si>
  <si>
    <t>DJ-13630</t>
  </si>
  <si>
    <t>Doug Jacobs</t>
  </si>
  <si>
    <t>OFF-BI-10003305</t>
  </si>
  <si>
    <t>Avery Hanging File Binders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</si>
  <si>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</si>
  <si>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</si>
  <si>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</si>
  <si>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</si>
  <si>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</si>
  <si>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</si>
  <si>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</si>
  <si>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</si>
  <si>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</si>
  <si>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TEC-AC-10003911</t>
  </si>
  <si>
    <t>NETGEAR AC1750 Dual Band Gigabit Smart WiFi Router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</si>
  <si>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</si>
  <si>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</si>
  <si>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</si>
  <si>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</si>
  <si>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</si>
  <si>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</si>
  <si>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</si>
  <si>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AB-10165</t>
  </si>
  <si>
    <t>Alan Barnes</t>
  </si>
  <si>
    <t>TEC-AC-10002253</t>
  </si>
  <si>
    <t>Imation Bio 8GB USB Flash Drive Imation Corp</t>
  </si>
  <si>
    <t>CA-2016-119291</t>
  </si>
  <si>
    <t>JO-15550</t>
  </si>
  <si>
    <t>Jesus Ocampo</t>
  </si>
  <si>
    <t>Chester</t>
  </si>
  <si>
    <t>CA-2018-114552</t>
  </si>
  <si>
    <t>Cleveland</t>
  </si>
  <si>
    <t>CA-2016-142027</t>
  </si>
  <si>
    <t>JK-15370</t>
  </si>
  <si>
    <t>Jay Kimmel</t>
  </si>
  <si>
    <t>FUR-TA-10002774</t>
  </si>
  <si>
    <t>Laminate Occasional Tables</t>
  </si>
  <si>
    <t>CA-2015-112158</t>
  </si>
  <si>
    <t>DP-13165</t>
  </si>
  <si>
    <t>David Philippe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</si>
  <si>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</si>
  <si>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</si>
  <si>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</si>
  <si>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</si>
  <si>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</si>
  <si>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</si>
  <si>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</si>
  <si>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</si>
  <si>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</si>
  <si>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</si>
  <si>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</si>
  <si>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FUR-FU-10000010</t>
  </si>
  <si>
    <t>DAX Value U-Channel Document Frames, Easel Back</t>
  </si>
  <si>
    <t>CA-2015-104472</t>
  </si>
  <si>
    <t>CK-12325</t>
  </si>
  <si>
    <t>Christine Kargatis</t>
  </si>
  <si>
    <t>OFF-BI-10001658</t>
  </si>
  <si>
    <t>GBC Standard Therm-A-Bind Covers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</si>
  <si>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</si>
  <si>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</si>
  <si>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</si>
  <si>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</si>
  <si>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</si>
  <si>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</si>
  <si>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MP-17965</t>
  </si>
  <si>
    <t>Michael Paige</t>
  </si>
  <si>
    <t>FUR-TA-10000198</t>
  </si>
  <si>
    <t>Chromcraft Bull-Nose Wood Oval Conference Tables &amp; Bases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</si>
  <si>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</si>
  <si>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</si>
  <si>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</si>
  <si>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</si>
  <si>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</si>
  <si>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</si>
  <si>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</si>
  <si>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</si>
  <si>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</si>
  <si>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</si>
  <si>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</si>
  <si>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US-2017-150861</t>
  </si>
  <si>
    <t>EG-13900</t>
  </si>
  <si>
    <t>Emily Grady</t>
  </si>
  <si>
    <t>Oceanside</t>
  </si>
  <si>
    <t>OFF-PA-10001954</t>
  </si>
  <si>
    <t>Xerox 1964</t>
  </si>
  <si>
    <t>CA-2018-131954</t>
  </si>
  <si>
    <t>DS-13030</t>
  </si>
  <si>
    <t>Darrin Sayre</t>
  </si>
  <si>
    <t>OFF-ST-10000736</t>
  </si>
  <si>
    <t>Carina Double Wide Media Storage Towers in Natural &amp; Black</t>
  </si>
  <si>
    <t>CA-2015-112326</t>
  </si>
  <si>
    <t>PO-19195</t>
  </si>
  <si>
    <t>Phillina Ober</t>
  </si>
  <si>
    <t>OFF-LA-10003223</t>
  </si>
  <si>
    <t>Avery 508</t>
  </si>
  <si>
    <t>US-2017-146710</t>
  </si>
  <si>
    <t>SS-20875</t>
  </si>
  <si>
    <t>Sung Shariari</t>
  </si>
  <si>
    <t>CA-2015-124429</t>
  </si>
  <si>
    <t>MH-17785</t>
  </si>
  <si>
    <t>Maya Herman</t>
  </si>
  <si>
    <t>FUR-TA-10002607</t>
  </si>
  <si>
    <t>KI Conference Tables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</si>
  <si>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</si>
  <si>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</si>
  <si>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</si>
  <si>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</si>
  <si>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</si>
  <si>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</si>
  <si>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</si>
  <si>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</si>
  <si>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</si>
  <si>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</si>
  <si>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Hewlett Packard 610 Color Digital Copier / Printer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</si>
  <si>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</si>
  <si>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</si>
  <si>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</si>
  <si>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</si>
  <si>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</si>
  <si>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</si>
  <si>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CA-2018-117240</t>
  </si>
  <si>
    <t>CP-12340</t>
  </si>
  <si>
    <t>Christine Phan</t>
  </si>
  <si>
    <t>CA-2016-112319</t>
  </si>
  <si>
    <t>OFF-PA-10003441</t>
  </si>
  <si>
    <t>Xerox 226</t>
  </si>
  <si>
    <t>CA-2016-114923</t>
  </si>
  <si>
    <t>LH-17020</t>
  </si>
  <si>
    <t>Lisa Hazard</t>
  </si>
  <si>
    <t>TEC-PH-10003931</t>
  </si>
  <si>
    <t>JBL Micro Wireless Portable Bluetooth Speaker</t>
  </si>
  <si>
    <t>CA-2015-162775</t>
  </si>
  <si>
    <t>CS-12250</t>
  </si>
  <si>
    <t>Chris Selesnick</t>
  </si>
  <si>
    <t>Bossier City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</si>
  <si>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</si>
  <si>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</si>
  <si>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</si>
  <si>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</si>
  <si>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</si>
  <si>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</si>
  <si>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LE-16810</t>
  </si>
  <si>
    <t>Laurel Elliston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</si>
  <si>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</si>
  <si>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</si>
  <si>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</si>
  <si>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</si>
  <si>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</si>
  <si>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</si>
  <si>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</si>
  <si>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</si>
  <si>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</si>
  <si>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</si>
  <si>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</si>
  <si>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</si>
  <si>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</si>
  <si>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NZ-18565</t>
  </si>
  <si>
    <t>Nick Zandusky</t>
  </si>
  <si>
    <t>FUR-CH-10002335</t>
  </si>
  <si>
    <t>Hon GuestStacker Chair</t>
  </si>
  <si>
    <t>US-2016-157014</t>
  </si>
  <si>
    <t>BM-11785</t>
  </si>
  <si>
    <t>Bryan Mills</t>
  </si>
  <si>
    <t>OFF-BI-10001098</t>
  </si>
  <si>
    <t>Acco D-Ring Binder w/DublLock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</si>
  <si>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</si>
  <si>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</si>
  <si>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</si>
  <si>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</si>
  <si>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</si>
  <si>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</si>
  <si>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</si>
  <si>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</si>
  <si>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</si>
  <si>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</si>
  <si>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</si>
  <si>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</si>
  <si>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CA-2018-151428</t>
  </si>
  <si>
    <t>RH-19495</t>
  </si>
  <si>
    <t>Rick Hansen</t>
  </si>
  <si>
    <t>OFF-BI-10000546</t>
  </si>
  <si>
    <t>Avery Durable Binders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</si>
  <si>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</si>
  <si>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</si>
  <si>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</si>
  <si>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</si>
  <si>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</si>
  <si>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</si>
  <si>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</si>
  <si>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</si>
  <si>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</si>
  <si>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</si>
  <si>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</si>
  <si>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</si>
  <si>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</si>
  <si>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</si>
  <si>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</si>
  <si>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</si>
  <si>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</si>
  <si>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</si>
  <si>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</si>
  <si>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</si>
  <si>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</si>
  <si>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CA-2016-140921</t>
  </si>
  <si>
    <t>Omaha</t>
  </si>
  <si>
    <t>CA-2015-151995</t>
  </si>
  <si>
    <t>Edmonds</t>
  </si>
  <si>
    <t>OFF-AR-10003190</t>
  </si>
  <si>
    <t>Newell 32</t>
  </si>
  <si>
    <t>CA-2018-143686</t>
  </si>
  <si>
    <t>PJ-19015</t>
  </si>
  <si>
    <t>Pauline Johnson</t>
  </si>
  <si>
    <t>Santa Ana</t>
  </si>
  <si>
    <t>CA-2016-106565</t>
  </si>
  <si>
    <t>BW-11110</t>
  </si>
  <si>
    <t>Bart Watters</t>
  </si>
  <si>
    <t>Milwaukee</t>
  </si>
  <si>
    <t>OFF-PA-10000061</t>
  </si>
  <si>
    <t>Xerox 205</t>
  </si>
  <si>
    <t>CA-2017-149370</t>
  </si>
  <si>
    <t>OFF-PA-10003651</t>
  </si>
  <si>
    <t>Xerox 1968</t>
  </si>
  <si>
    <t>CA-2015-140858</t>
  </si>
  <si>
    <t>CA-12775</t>
  </si>
  <si>
    <t>Cynthia Arntzen</t>
  </si>
  <si>
    <t>OFF-PA-10000304</t>
  </si>
  <si>
    <t>Xerox 1995</t>
  </si>
  <si>
    <t>CA-2018-101434</t>
  </si>
  <si>
    <t>TR-21325</t>
  </si>
  <si>
    <t>Toby Ritter</t>
  </si>
  <si>
    <t>Belleville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</si>
  <si>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</si>
  <si>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</si>
  <si>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</si>
  <si>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</si>
  <si>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</si>
  <si>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</si>
  <si>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</si>
  <si>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CA-2017-165316</t>
  </si>
  <si>
    <t>OFF-AR-10002956</t>
  </si>
  <si>
    <t>Boston 16801 Nautilus Battery Pencil Sharpener</t>
  </si>
  <si>
    <t>US-2017-137547</t>
  </si>
  <si>
    <t>TEC-PH-10002365</t>
  </si>
  <si>
    <t>Belkin Grip Candy Sheer Case / Cover for iPhone 5 and 5S</t>
  </si>
  <si>
    <t>CA-2016-100454</t>
  </si>
  <si>
    <t>BM-11650</t>
  </si>
  <si>
    <t>Brian Moss</t>
  </si>
  <si>
    <t>OFF-AR-10004648</t>
  </si>
  <si>
    <t>Boston 19500 Mighty Mite Electric Pencil Sharpener</t>
  </si>
  <si>
    <t>CA-2016-114300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</si>
  <si>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</si>
  <si>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</si>
  <si>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</si>
  <si>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</si>
  <si>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</si>
  <si>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</si>
  <si>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</si>
  <si>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</si>
  <si>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</si>
  <si>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</si>
  <si>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</si>
  <si>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</si>
  <si>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</si>
  <si>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</si>
  <si>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</si>
  <si>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</si>
  <si>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CA-2017-113747</t>
  </si>
  <si>
    <t>CA-2017-123274</t>
  </si>
  <si>
    <t>CA-2018-161984</t>
  </si>
  <si>
    <t>SJ-20125</t>
  </si>
  <si>
    <t>Sanjit Jacobs</t>
  </si>
  <si>
    <t>New Brunswick</t>
  </si>
  <si>
    <t>CA-2017-134474</t>
  </si>
  <si>
    <t>TEC-AC-10001714</t>
  </si>
  <si>
    <t>Logitech MX Performance Wireless Mouse</t>
  </si>
  <si>
    <t>CA-2015-149020</t>
  </si>
  <si>
    <t>AJ-10780</t>
  </si>
  <si>
    <t>Anthony Jacobs</t>
  </si>
  <si>
    <t>OFF-LA-10004272</t>
  </si>
  <si>
    <t>Avery 482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</si>
  <si>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</si>
  <si>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</si>
  <si>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</si>
  <si>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</si>
  <si>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</si>
  <si>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</si>
  <si>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</si>
  <si>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</si>
  <si>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</si>
  <si>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</si>
  <si>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</si>
  <si>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</si>
  <si>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</si>
  <si>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</si>
  <si>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</si>
  <si>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</si>
  <si>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</si>
  <si>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</si>
  <si>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</si>
  <si>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</si>
  <si>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</si>
  <si>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</si>
  <si>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</si>
  <si>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</si>
  <si>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CA-2018-114636</t>
  </si>
  <si>
    <t>OFF-PA-10001790</t>
  </si>
  <si>
    <t>Xerox 1910</t>
  </si>
  <si>
    <t>CA-2017-116736</t>
  </si>
  <si>
    <t>FUR-FU-10004017</t>
  </si>
  <si>
    <t>Tenex Contemporary Contur Chairmats for Low and Medium Pile Carpet, Computer, 39" x 49"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</si>
  <si>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</si>
  <si>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</si>
  <si>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</si>
  <si>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</si>
  <si>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</si>
  <si>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</si>
  <si>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</si>
  <si>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</si>
  <si>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</si>
  <si>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OFF-ST-10001321</t>
  </si>
  <si>
    <t>Decoflex Hanging Personal Folder File, Blue</t>
  </si>
  <si>
    <t>US-2018-123463</t>
  </si>
  <si>
    <t>OFF-AR-10001118</t>
  </si>
  <si>
    <t>Binney &amp; Smith Crayola Metallic Crayons, 16-Color Pack</t>
  </si>
  <si>
    <t>CA-2017-165148</t>
  </si>
  <si>
    <t>PM-19135</t>
  </si>
  <si>
    <t>Peter McVee</t>
  </si>
  <si>
    <t>FUR-FU-10000732</t>
  </si>
  <si>
    <t>Eldon 200 Class Desk Accessories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</si>
  <si>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</si>
  <si>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</si>
  <si>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</si>
  <si>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</si>
  <si>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</si>
  <si>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</si>
  <si>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</si>
  <si>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</si>
  <si>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</si>
  <si>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</si>
  <si>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</si>
  <si>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</si>
  <si>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</si>
  <si>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</si>
  <si>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</si>
  <si>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</si>
  <si>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</si>
  <si>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</si>
  <si>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</si>
  <si>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CA-2015-104976</t>
  </si>
  <si>
    <t>OFF-PA-10003845</t>
  </si>
  <si>
    <t>Xerox 1987</t>
  </si>
  <si>
    <t>CA-2017-105494</t>
  </si>
  <si>
    <t>PC-18745</t>
  </si>
  <si>
    <t>Pamela Coakley</t>
  </si>
  <si>
    <t>OFF-ST-10002205</t>
  </si>
  <si>
    <t>File Shuttle I and Handi-File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</si>
  <si>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</si>
  <si>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</si>
  <si>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</si>
  <si>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</si>
  <si>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</si>
  <si>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</si>
  <si>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</si>
  <si>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</si>
  <si>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</si>
  <si>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</si>
  <si>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</si>
  <si>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</si>
  <si>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</si>
  <si>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</si>
  <si>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</si>
  <si>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</si>
  <si>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</si>
  <si>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</si>
  <si>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</si>
  <si>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</si>
  <si>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</si>
  <si>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CA-2018-102519</t>
  </si>
  <si>
    <t>FUR-FU-10004091</t>
  </si>
  <si>
    <t>Howard Miller 13" Diameter Goldtone Round Wall Clock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</si>
  <si>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</si>
  <si>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</si>
  <si>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</si>
  <si>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</si>
  <si>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</si>
  <si>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</si>
  <si>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</si>
  <si>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</si>
  <si>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CA-2016-111164</t>
  </si>
  <si>
    <t>SE-20110</t>
  </si>
  <si>
    <t>Sanjit Engle</t>
  </si>
  <si>
    <t>TEC-AC-10002473</t>
  </si>
  <si>
    <t>Maxell 4.7GB DVD-R</t>
  </si>
  <si>
    <t>CA-2016-115091</t>
  </si>
  <si>
    <t>JJ-15760</t>
  </si>
  <si>
    <t>Joel Jenkins</t>
  </si>
  <si>
    <t>OFF-AR-10000658</t>
  </si>
  <si>
    <t>Newell 324</t>
  </si>
  <si>
    <t>CA-2018-144932</t>
  </si>
  <si>
    <t>Toledo</t>
  </si>
  <si>
    <t>CA-2016-148250</t>
  </si>
  <si>
    <t>RP-19270</t>
  </si>
  <si>
    <t>Rachel Payne</t>
  </si>
  <si>
    <t>Riverside</t>
  </si>
  <si>
    <t>OFF-PA-10000289</t>
  </si>
  <si>
    <t>Xerox 213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</si>
  <si>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</si>
  <si>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</si>
  <si>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</si>
  <si>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</si>
  <si>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</si>
  <si>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CA-2016-120880</t>
  </si>
  <si>
    <t>OFF-PA-10004101</t>
  </si>
  <si>
    <t>Xerox 1894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</si>
  <si>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</si>
  <si>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</si>
  <si>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</si>
  <si>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</si>
  <si>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</si>
  <si>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</si>
  <si>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CA-2018-131156</t>
  </si>
  <si>
    <t>KH-16360</t>
  </si>
  <si>
    <t>Katherine Hughes</t>
  </si>
  <si>
    <t>FUR-FU-10001940</t>
  </si>
  <si>
    <t>Staple-based wall hangings</t>
  </si>
  <si>
    <t>CA-2018-102414</t>
  </si>
  <si>
    <t>JA-15970</t>
  </si>
  <si>
    <t>Joseph Airdo</t>
  </si>
  <si>
    <t>TEC-PH-10002923</t>
  </si>
  <si>
    <t>Logitech B530 USB Headset - headset - Full size, Binaural</t>
  </si>
  <si>
    <t>CA-2016-112571</t>
  </si>
  <si>
    <t>DL-12925</t>
  </si>
  <si>
    <t>Daniel Lacy</t>
  </si>
  <si>
    <t>FUR-FU-10004188</t>
  </si>
  <si>
    <t>Luxo Professional Combination Clamp-On Lamps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</si>
  <si>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</si>
  <si>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</si>
  <si>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</si>
  <si>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</si>
  <si>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</si>
  <si>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</si>
  <si>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</si>
  <si>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</si>
  <si>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</si>
  <si>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CA-2015-115791</t>
  </si>
  <si>
    <t>DL-13315</t>
  </si>
  <si>
    <t>Delfina Latchford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</si>
  <si>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</si>
  <si>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</si>
  <si>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</si>
  <si>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</si>
  <si>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</si>
  <si>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</si>
  <si>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</si>
  <si>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CA-2016-157035</t>
  </si>
  <si>
    <t>OFF-PA-10004156</t>
  </si>
  <si>
    <t>Xerox 188</t>
  </si>
  <si>
    <t>CA-2018-100314</t>
  </si>
  <si>
    <t>AS-10630</t>
  </si>
  <si>
    <t>Ann Steele</t>
  </si>
  <si>
    <t>OFF-LA-10001569</t>
  </si>
  <si>
    <t>Avery 499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</si>
  <si>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</si>
  <si>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</si>
  <si>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</si>
  <si>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</si>
  <si>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</si>
  <si>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</si>
  <si>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</si>
  <si>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</si>
  <si>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</si>
  <si>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FUR-CH-10004086</t>
  </si>
  <si>
    <t>Hon 4070 Series Pagoda Armless Upholstered Stacking Chairs</t>
  </si>
  <si>
    <t>CA-2017-110023</t>
  </si>
  <si>
    <t>CA-2017-105585</t>
  </si>
  <si>
    <t>OFF-FA-10002983</t>
  </si>
  <si>
    <t>Advantus SlideClip Paper Clips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</si>
  <si>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</si>
  <si>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</si>
  <si>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</si>
  <si>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</si>
  <si>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</si>
  <si>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</si>
  <si>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</si>
  <si>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RD-19585</t>
  </si>
  <si>
    <t>Rob Dowd</t>
  </si>
  <si>
    <t>OFF-EN-10003862</t>
  </si>
  <si>
    <t>Laser &amp; Ink Jet Business Envelopes</t>
  </si>
  <si>
    <t>CA-2017-155488</t>
  </si>
  <si>
    <t>Vancouver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</si>
  <si>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</si>
  <si>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</si>
  <si>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</si>
  <si>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</si>
  <si>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</si>
  <si>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</si>
  <si>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</si>
  <si>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</si>
  <si>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</si>
  <si>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CA-2016-105312</t>
  </si>
  <si>
    <t>MT-17815</t>
  </si>
  <si>
    <t>Meg Tillman</t>
  </si>
  <si>
    <t>OFF-EN-10002600</t>
  </si>
  <si>
    <t>Redi-Strip #10 Envelopes, 4 1/8 x 9 1/2</t>
  </si>
  <si>
    <t>US-2018-106705</t>
  </si>
  <si>
    <t>OFF-PA-10001509</t>
  </si>
  <si>
    <t>Recycled Desk Saver Line "While You Were Out" Book, 5 1/2" X 4"</t>
  </si>
  <si>
    <t>CA-2018-135034</t>
  </si>
  <si>
    <t>US-2016-126214</t>
  </si>
  <si>
    <t>JS-15880</t>
  </si>
  <si>
    <t>John Stevenson</t>
  </si>
  <si>
    <t>FUR-TA-10003748</t>
  </si>
  <si>
    <t>Bevis 36 x 72 Conference Tables</t>
  </si>
  <si>
    <t>CA-2016-108665</t>
  </si>
  <si>
    <t>KM-16225</t>
  </si>
  <si>
    <t>Kalyca Meade</t>
  </si>
  <si>
    <t>FUR-FU-10002191</t>
  </si>
  <si>
    <t>G.E. Halogen Desk Lamp Bulbs</t>
  </si>
  <si>
    <t>CA-2016-124450</t>
  </si>
  <si>
    <t>District of Columbia</t>
  </si>
  <si>
    <t>OFF-AR-10001166</t>
  </si>
  <si>
    <t>Staples in misc. colors</t>
  </si>
  <si>
    <t>CA-2016-167269</t>
  </si>
  <si>
    <t>OFF-EN-10003072</t>
  </si>
  <si>
    <t>Peel &amp; Seel Envelopes</t>
  </si>
  <si>
    <t>CA-2017-126529</t>
  </si>
  <si>
    <t>DE-13255</t>
  </si>
  <si>
    <t>Deanra Eno</t>
  </si>
  <si>
    <t>OFF-PA-10001166</t>
  </si>
  <si>
    <t>Xerox 2</t>
  </si>
  <si>
    <t>CA-2015-163552</t>
  </si>
  <si>
    <t>OFF-PA-10000474</t>
  </si>
  <si>
    <t>CA-2016-127418</t>
  </si>
  <si>
    <t>JJ-15445</t>
  </si>
  <si>
    <t>Jennifer Jackson</t>
  </si>
  <si>
    <t>OFF-BI-10003707</t>
  </si>
  <si>
    <t>Aluminum Screw Posts</t>
  </si>
  <si>
    <t>CA-2018-152702</t>
  </si>
  <si>
    <t>Rockford</t>
  </si>
  <si>
    <t>FUR-CH-10002304</t>
  </si>
  <si>
    <t>Global Stack Chair without Arms, Black</t>
  </si>
  <si>
    <t>CA-2017-169103</t>
  </si>
  <si>
    <t>TEC-PH-10001530</t>
  </si>
  <si>
    <t>Cisco Unified IP Phone 7945G VoIP phone</t>
  </si>
  <si>
    <t>CA-2016-110667</t>
  </si>
  <si>
    <t>NF-18595</t>
  </si>
  <si>
    <t>Nicole Fjeld</t>
  </si>
  <si>
    <t>OFF-AR-10000716</t>
  </si>
  <si>
    <t>DIXON Ticonderoga Erasable Checking Pencils</t>
  </si>
  <si>
    <t>CA-2018-167150</t>
  </si>
  <si>
    <t>OFF-BI-10001097</t>
  </si>
  <si>
    <t>Avery Hole Reinforcements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</si>
  <si>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</si>
  <si>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</si>
  <si>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</si>
  <si>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</si>
  <si>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</si>
  <si>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</si>
  <si>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</si>
  <si>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</si>
  <si>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</si>
  <si>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OFF-AP-10002350</t>
  </si>
  <si>
    <t>Belkin F9H710-06 7 Outlet SurgeMaster Surge Protector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</si>
  <si>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</si>
  <si>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</si>
  <si>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</si>
  <si>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</si>
  <si>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</si>
  <si>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</si>
  <si>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</si>
  <si>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OFF-SU-10001935</t>
  </si>
  <si>
    <t>Staple remover</t>
  </si>
  <si>
    <t>US-2016-150161</t>
  </si>
  <si>
    <t>OFF-BI-10001524</t>
  </si>
  <si>
    <t>GBC Premium Transparent Covers with Diagonal Lined Pattern</t>
  </si>
  <si>
    <t>CA-2017-134348</t>
  </si>
  <si>
    <t>MS-17710</t>
  </si>
  <si>
    <t>Maurice Satty</t>
  </si>
  <si>
    <t>OFF-BI-10003727</t>
  </si>
  <si>
    <t>Avery Durable Slant Ring Binders With Label Holder</t>
  </si>
  <si>
    <t>CA-2018-132521</t>
  </si>
  <si>
    <t>DW-13540</t>
  </si>
  <si>
    <t>Don Weiss</t>
  </si>
  <si>
    <t>OFF-AP-10002191</t>
  </si>
  <si>
    <t>Belkin 8 Outlet SurgeMaster II Gold Surge Protector</t>
  </si>
  <si>
    <t>US-2017-143819</t>
  </si>
  <si>
    <t>Yonkers</t>
  </si>
  <si>
    <t>FUR-TA-10001095</t>
  </si>
  <si>
    <t>Chromcraft Round Conference Tables</t>
  </si>
  <si>
    <t>CA-2017-167584</t>
  </si>
  <si>
    <t>OFF-PA-10000029</t>
  </si>
  <si>
    <t>Xerox 224</t>
  </si>
  <si>
    <t>CA-2018-158407</t>
  </si>
  <si>
    <t>LW-16990</t>
  </si>
  <si>
    <t>Lindsay Williams</t>
  </si>
  <si>
    <t>CA-2016-143490</t>
  </si>
  <si>
    <t>OFF-AR-10002952</t>
  </si>
  <si>
    <t>Stanley Contemporary Battery Pencil Sharpeners</t>
  </si>
  <si>
    <t>CA-2015-159338</t>
  </si>
  <si>
    <t>NS-18640</t>
  </si>
  <si>
    <t>Noel Staavos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</si>
  <si>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</si>
  <si>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</si>
  <si>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</si>
  <si>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</si>
  <si>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</si>
  <si>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</si>
  <si>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</si>
  <si>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CA-2018-140585</t>
  </si>
  <si>
    <t>Encinitas</t>
  </si>
  <si>
    <t>OFF-BI-10003364</t>
  </si>
  <si>
    <t>Binding Machine Supplies</t>
  </si>
  <si>
    <t>CA-2017-144855</t>
  </si>
  <si>
    <t>DL-13495</t>
  </si>
  <si>
    <t>Dionis Lloyd</t>
  </si>
  <si>
    <t>OFF-LA-10003766</t>
  </si>
  <si>
    <t>Self-Adhesive Removable Labels</t>
  </si>
  <si>
    <t>CA-2016-142755</t>
  </si>
  <si>
    <t>CS-12355</t>
  </si>
  <si>
    <t>Christine Sundaresam</t>
  </si>
  <si>
    <t>Roswell</t>
  </si>
  <si>
    <t>OFF-PA-10001970</t>
  </si>
  <si>
    <t>Xerox 1908</t>
  </si>
  <si>
    <t>US-2015-147627</t>
  </si>
  <si>
    <t>Jonesboro</t>
  </si>
  <si>
    <t>Arkansas</t>
  </si>
  <si>
    <t>TEC-PH-10001061</t>
  </si>
  <si>
    <t>Apple iPhone 5C</t>
  </si>
  <si>
    <t>CA-2017-112102</t>
  </si>
  <si>
    <t>FUR-TA-10004086</t>
  </si>
  <si>
    <t>KI Adjustable-Height Table</t>
  </si>
  <si>
    <t>US-2017-114776</t>
  </si>
  <si>
    <t>Antioch</t>
  </si>
  <si>
    <t>OFF-PA-10004100</t>
  </si>
  <si>
    <t>Xerox 216</t>
  </si>
  <si>
    <t>US-2017-134908</t>
  </si>
  <si>
    <t>CA-2015-146969</t>
  </si>
  <si>
    <t>AP-10915</t>
  </si>
  <si>
    <t>Arthur Prichep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</si>
  <si>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</si>
  <si>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</si>
  <si>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</si>
  <si>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</si>
  <si>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</si>
  <si>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</si>
  <si>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</si>
  <si>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</si>
  <si>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</si>
  <si>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PS-19045</t>
  </si>
  <si>
    <t>Penelope Sewall</t>
  </si>
  <si>
    <t>Harrisonburg</t>
  </si>
  <si>
    <t>OFF-ST-10004337</t>
  </si>
  <si>
    <t>SAFCO Commercial Wire Shelving, 72h</t>
  </si>
  <si>
    <t>CA-2017-149314</t>
  </si>
  <si>
    <t>FUR-CH-10002126</t>
  </si>
  <si>
    <t>Hon Deluxe Fabric Upholstered Stacking Chairs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</si>
  <si>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</si>
  <si>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</si>
  <si>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</si>
  <si>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</si>
  <si>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</si>
  <si>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</si>
  <si>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CA-2015-117709</t>
  </si>
  <si>
    <t>PM-18940</t>
  </si>
  <si>
    <t>Paul MacIntyre</t>
  </si>
  <si>
    <t>OFF-BI-10001294</t>
  </si>
  <si>
    <t>Fellowes Binding Cases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</si>
  <si>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</si>
  <si>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</si>
  <si>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</si>
  <si>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</si>
  <si>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</si>
  <si>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</si>
  <si>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</si>
  <si>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</si>
  <si>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</si>
  <si>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</si>
  <si>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OFF-BI-10000301</t>
  </si>
  <si>
    <t>GBC Instant Report Kit</t>
  </si>
  <si>
    <t>CA-2016-132080</t>
  </si>
  <si>
    <t>DP-13105</t>
  </si>
  <si>
    <t>Dave Poirier</t>
  </si>
  <si>
    <t>OFF-BI-10003694</t>
  </si>
  <si>
    <t>Avery 3 1/2" Diskette Storage Pages, 10/Pack</t>
  </si>
  <si>
    <t>CA-2015-120243</t>
  </si>
  <si>
    <t>AT-10435</t>
  </si>
  <si>
    <t>Alyssa Tate</t>
  </si>
  <si>
    <t>OFF-LA-10004425</t>
  </si>
  <si>
    <t>Staple-on labels</t>
  </si>
  <si>
    <t>CA-2017-168081</t>
  </si>
  <si>
    <t>CA-12055</t>
  </si>
  <si>
    <t>Cathy Armstrong</t>
  </si>
  <si>
    <t>TEC-AC-10003174</t>
  </si>
  <si>
    <t>Plantronics S12 Corded Telephone Headset System</t>
  </si>
  <si>
    <t>CA-2018-138779</t>
  </si>
  <si>
    <t>OFF-EN-10002504</t>
  </si>
  <si>
    <t>Tyvek  Top-Opening Peel &amp; Seel Envelopes, Plain White</t>
  </si>
  <si>
    <t>CA-2018-117212</t>
  </si>
  <si>
    <t>BT-11530</t>
  </si>
  <si>
    <t>Bradley Talbott</t>
  </si>
  <si>
    <t>US-2016-130519</t>
  </si>
  <si>
    <t>Coral Springs</t>
  </si>
  <si>
    <t>OFF-PA-10001937</t>
  </si>
  <si>
    <t>Xerox 21</t>
  </si>
  <si>
    <t>CA-2017-114727</t>
  </si>
  <si>
    <t>US-2018-118087</t>
  </si>
  <si>
    <t>SP-20620</t>
  </si>
  <si>
    <t>Stefania Perrino</t>
  </si>
  <si>
    <t>CA-2017-126004</t>
  </si>
  <si>
    <t>FUR-FU-10001602</t>
  </si>
  <si>
    <t>Eldon Delta Triangular Chair Mat, 52" x 58", Clear</t>
  </si>
  <si>
    <t>CA-2015-127012</t>
  </si>
  <si>
    <t>GM-14680</t>
  </si>
  <si>
    <t>Greg Matthias</t>
  </si>
  <si>
    <t>FUR-FU-10003691</t>
  </si>
  <si>
    <t>Eldon Image Series Desk Accessories, Ebony</t>
  </si>
  <si>
    <t>US-2017-162859</t>
  </si>
  <si>
    <t>OFF-BI-10004519</t>
  </si>
  <si>
    <t>GBC DocuBind P100 Manual Binding Machine</t>
  </si>
  <si>
    <t>CA-2015-168494</t>
  </si>
  <si>
    <t>NP-18700</t>
  </si>
  <si>
    <t>Nora Preis</t>
  </si>
  <si>
    <t>Fresno</t>
  </si>
  <si>
    <t>FUR-TA-10004619</t>
  </si>
  <si>
    <t>Hon Non-Folding Utility Tables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</si>
  <si>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</si>
  <si>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</si>
  <si>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</si>
  <si>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</si>
  <si>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</si>
  <si>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</si>
  <si>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OFF-AR-10003958</t>
  </si>
  <si>
    <t>Newell 337</t>
  </si>
  <si>
    <t>US-2017-168620</t>
  </si>
  <si>
    <t>OFF-BI-10001575</t>
  </si>
  <si>
    <t>GBC Linen Binding Covers</t>
  </si>
  <si>
    <t>CA-2018-117079</t>
  </si>
  <si>
    <t>JR-15700</t>
  </si>
  <si>
    <t>Jocasta Rupert</t>
  </si>
  <si>
    <t>TEC-PH-10004586</t>
  </si>
  <si>
    <t>Wilson SignalBoost 841262 DB PRO Amplifier Kit</t>
  </si>
  <si>
    <t>CA-2018-105053</t>
  </si>
  <si>
    <t>US-2017-103646</t>
  </si>
  <si>
    <t>OFF-ST-10000563</t>
  </si>
  <si>
    <t>Fellowes Bankers Box Stor/Drawer Steel Plus</t>
  </si>
  <si>
    <t>CA-2017-119186</t>
  </si>
  <si>
    <t>OFF-PA-10004621</t>
  </si>
  <si>
    <t>Xerox 212</t>
  </si>
  <si>
    <t>CA-2017-148698</t>
  </si>
  <si>
    <t>BD-11770</t>
  </si>
  <si>
    <t>Bryan Davis</t>
  </si>
  <si>
    <t>OFF-AR-10004022</t>
  </si>
  <si>
    <t>Panasonic KP-380BK Classic Electric Pencil Sharpener</t>
  </si>
  <si>
    <t>CA-2017-154711</t>
  </si>
  <si>
    <t>TB-21355</t>
  </si>
  <si>
    <t>Todd Boyes</t>
  </si>
  <si>
    <t>FUR-FU-10000397</t>
  </si>
  <si>
    <t>Luxo Economy Swing Arm Lamp</t>
  </si>
  <si>
    <t>CA-2016-138898</t>
  </si>
  <si>
    <t>JH-16180</t>
  </si>
  <si>
    <t>Justin Hirsh</t>
  </si>
  <si>
    <t>Pueblo</t>
  </si>
  <si>
    <t>OFF-AP-10004487</t>
  </si>
  <si>
    <t>Kensington 4 Outlet MasterPiece Compact Power Control Center</t>
  </si>
  <si>
    <t>CA-2017-137043</t>
  </si>
  <si>
    <t>FUR-FU-10003664</t>
  </si>
  <si>
    <t>Electrix Architect's Clamp-On Swing Arm Lamp, Black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</si>
  <si>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</si>
  <si>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</si>
  <si>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</si>
  <si>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</si>
  <si>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</si>
  <si>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</si>
  <si>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</si>
  <si>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</si>
  <si>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</si>
  <si>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</si>
  <si>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US-2017-134488</t>
  </si>
  <si>
    <t>FUR-CH-10003199</t>
  </si>
  <si>
    <t>Office Star - Contemporary Task Swivel Chair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</si>
  <si>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</si>
  <si>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</si>
  <si>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</si>
  <si>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</si>
  <si>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</si>
  <si>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</si>
  <si>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</si>
  <si>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</si>
  <si>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</si>
  <si>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</si>
  <si>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</si>
  <si>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</si>
  <si>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</si>
  <si>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</si>
  <si>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</si>
  <si>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</si>
  <si>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</si>
  <si>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CA-2016-120439</t>
  </si>
  <si>
    <t>FUR-FU-10001867</t>
  </si>
  <si>
    <t>Eldon Expressions Punched Metal &amp; Wood Desk Accessories, Pewter &amp; Cherry</t>
  </si>
  <si>
    <t>CA-2017-128258</t>
  </si>
  <si>
    <t>CP-12085</t>
  </si>
  <si>
    <t>Cathy Prescott</t>
  </si>
  <si>
    <t>Norwich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</si>
  <si>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</si>
  <si>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</si>
  <si>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</si>
  <si>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</si>
  <si>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</si>
  <si>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</si>
  <si>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</si>
  <si>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</si>
  <si>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</si>
  <si>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</si>
  <si>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</si>
  <si>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TEC-PH-10000347</t>
  </si>
  <si>
    <t>Cush Cases Heavy Duty Rugged Cover Case for Samsung Galaxy S5 - Purple</t>
  </si>
  <si>
    <t>CA-2015-122567</t>
  </si>
  <si>
    <t>MN-17935</t>
  </si>
  <si>
    <t>Michael Nguyen</t>
  </si>
  <si>
    <t>CA-2015-121664</t>
  </si>
  <si>
    <t>OFF-BI-10003684</t>
  </si>
  <si>
    <t>Wilson Jones Legal Size Ring Binders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</si>
  <si>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</si>
  <si>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</si>
  <si>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</si>
  <si>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</si>
  <si>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</si>
  <si>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</si>
  <si>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</si>
  <si>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</si>
  <si>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</si>
  <si>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FUR-FU-10003724</t>
  </si>
  <si>
    <t>Westinghouse Clip-On Gooseneck Lamps</t>
  </si>
  <si>
    <t>CA-2018-113481</t>
  </si>
  <si>
    <t>AS-10045</t>
  </si>
  <si>
    <t>Aaron Smayling</t>
  </si>
  <si>
    <t>TEC-MA-10002178</t>
  </si>
  <si>
    <t>Cisco CP-7937G Unified IP Conference Station Phone</t>
  </si>
  <si>
    <t>CA-2015-118339</t>
  </si>
  <si>
    <t>OFF-AP-10001154</t>
  </si>
  <si>
    <t>Bionaire Personal Warm Mist Humidifier/Vaporizer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</si>
  <si>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</si>
  <si>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</si>
  <si>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</si>
  <si>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</si>
  <si>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</si>
  <si>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</si>
  <si>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>CA-2017-162901</t>
  </si>
  <si>
    <t>OFF-ST-10000649</t>
  </si>
  <si>
    <t>Hanging Personal Folder File</t>
  </si>
  <si>
    <t>CA-2018-162978</t>
  </si>
  <si>
    <t>TEC-PH-10003092</t>
  </si>
  <si>
    <t>Motorola L804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</si>
  <si>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</si>
  <si>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</si>
  <si>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</si>
  <si>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</si>
  <si>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</si>
  <si>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</si>
  <si>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</si>
  <si>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</si>
  <si>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</si>
  <si>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</si>
  <si>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</si>
  <si>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</si>
  <si>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</si>
  <si>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US-2018-155425</t>
  </si>
  <si>
    <t>AB-10600</t>
  </si>
  <si>
    <t>Ann Blume</t>
  </si>
  <si>
    <t>CA-2018-136672</t>
  </si>
  <si>
    <t>MG-17890</t>
  </si>
  <si>
    <t>Michael Granlund</t>
  </si>
  <si>
    <t>Clinton</t>
  </si>
  <si>
    <t>TEC-AC-10004510</t>
  </si>
  <si>
    <t>Logitech Desktop MK120 Mouse and keyboard Combo</t>
  </si>
  <si>
    <t>US-2015-157021</t>
  </si>
  <si>
    <t>OFF-LA-10002312</t>
  </si>
  <si>
    <t>Avery 490</t>
  </si>
  <si>
    <t>CA-2016-120362</t>
  </si>
  <si>
    <t>CA-12265</t>
  </si>
  <si>
    <t>Christina Anderson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</si>
  <si>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</si>
  <si>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</si>
  <si>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</si>
  <si>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</si>
  <si>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</si>
  <si>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</si>
  <si>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</si>
  <si>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</si>
  <si>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</si>
  <si>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</si>
  <si>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</si>
  <si>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</si>
  <si>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</si>
  <si>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CA-2017-159212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</si>
  <si>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</si>
  <si>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</si>
  <si>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</si>
  <si>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</si>
  <si>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US-2017-161396</t>
  </si>
  <si>
    <t>FUR-TA-10002622</t>
  </si>
  <si>
    <t>Bush Andora Conference Table, Maple/Graphite Gray Finish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</si>
  <si>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</si>
  <si>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</si>
  <si>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</si>
  <si>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</si>
  <si>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</si>
  <si>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</si>
  <si>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</si>
  <si>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</si>
  <si>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</si>
  <si>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</si>
  <si>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</si>
  <si>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</si>
  <si>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</si>
  <si>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</si>
  <si>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</si>
  <si>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TEC-AC-10000580</t>
  </si>
  <si>
    <t>Logitech G13 Programmable Gameboard with LCD Display</t>
  </si>
  <si>
    <t>CA-2016-126697</t>
  </si>
  <si>
    <t>SV-20815</t>
  </si>
  <si>
    <t>Stuart Van</t>
  </si>
  <si>
    <t>TEC-PH-10002922</t>
  </si>
  <si>
    <t>ShoreTel ShorePhone IP 230 VoIP phone</t>
  </si>
  <si>
    <t>US-2017-153129</t>
  </si>
  <si>
    <t>OFF-PA-10003673</t>
  </si>
  <si>
    <t>Strathmore Photo Mount Cards</t>
  </si>
  <si>
    <t>CA-2018-122735</t>
  </si>
  <si>
    <t>BD-11320</t>
  </si>
  <si>
    <t>Bill Donatelli</t>
  </si>
  <si>
    <t>Providence</t>
  </si>
  <si>
    <t>OFF-BI-10004364</t>
  </si>
  <si>
    <t>CA-2018-128160</t>
  </si>
  <si>
    <t>MM-17920</t>
  </si>
  <si>
    <t>Michael Moore</t>
  </si>
  <si>
    <t>OFF-BI-10001510</t>
  </si>
  <si>
    <t>Deluxe Heavy-Duty Vinyl Round Ring Binder</t>
  </si>
  <si>
    <t>CA-2018-117695</t>
  </si>
  <si>
    <t>PW-19030</t>
  </si>
  <si>
    <t>Pauline Webber</t>
  </si>
  <si>
    <t>OFF-PA-10002713</t>
  </si>
  <si>
    <t>Adams Phone Message Book, 200 Message Capacity, 8 1/16” x 11”</t>
  </si>
  <si>
    <t>CA-2016-166135</t>
  </si>
  <si>
    <t>SC-20440</t>
  </si>
  <si>
    <t>Shaun Chance</t>
  </si>
  <si>
    <t>CA-2018-102337</t>
  </si>
  <si>
    <t>OFF-ST-10004804</t>
  </si>
  <si>
    <t>Belkin 19" Vented Equipment Shelf, Black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</si>
  <si>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</si>
  <si>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</si>
  <si>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</si>
  <si>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</si>
  <si>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</si>
  <si>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</si>
  <si>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</si>
  <si>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</si>
  <si>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</si>
  <si>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</si>
  <si>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</si>
  <si>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</si>
  <si>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</si>
  <si>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</si>
  <si>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</si>
  <si>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OFF-PA-10001685</t>
  </si>
  <si>
    <t>CA-2018-148474</t>
  </si>
  <si>
    <t>ME-17320</t>
  </si>
  <si>
    <t>Maria Etezadi</t>
  </si>
  <si>
    <t>OFF-BI-10000977</t>
  </si>
  <si>
    <t>Ibico Plastic Spiral Binding Combs</t>
  </si>
  <si>
    <t>CA-2016-111297</t>
  </si>
  <si>
    <t>New Bedford</t>
  </si>
  <si>
    <t>CA-2016-119907</t>
  </si>
  <si>
    <t>OFF-BI-10001765</t>
  </si>
  <si>
    <t>Wilson Jones Heavy-Duty Casebound Ring Binders with Metal Hinges</t>
  </si>
  <si>
    <t>CA-2016-100769</t>
  </si>
  <si>
    <t>US-2016-161466</t>
  </si>
  <si>
    <t>OFF-AR-10000634</t>
  </si>
  <si>
    <t>Newell 320</t>
  </si>
  <si>
    <t>CA-2018-164959</t>
  </si>
  <si>
    <t>KN-16390</t>
  </si>
  <si>
    <t>Katherine Nockton</t>
  </si>
  <si>
    <t>US-2018-104955</t>
  </si>
  <si>
    <t>CG-12040</t>
  </si>
  <si>
    <t>Catherine Glotzbach</t>
  </si>
  <si>
    <t>OFF-LA-10003121</t>
  </si>
  <si>
    <t>Avery 506</t>
  </si>
  <si>
    <t>US-2017-108455</t>
  </si>
  <si>
    <t>OFF-PA-10002262</t>
  </si>
  <si>
    <t>Xerox 192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</si>
  <si>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</si>
  <si>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</si>
  <si>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</si>
  <si>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</si>
  <si>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</si>
  <si>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</si>
  <si>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</si>
  <si>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</si>
  <si>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</si>
  <si>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</si>
  <si>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</si>
  <si>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</si>
  <si>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</si>
  <si>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Co-12640</t>
  </si>
  <si>
    <t>Corey-Lock</t>
  </si>
  <si>
    <t>OFF-LA-10000452</t>
  </si>
  <si>
    <t>Avery 488</t>
  </si>
  <si>
    <t>CA-2018-151911</t>
  </si>
  <si>
    <t>CA-2018-139661</t>
  </si>
  <si>
    <t>JW-15220</t>
  </si>
  <si>
    <t>Jane Waco</t>
  </si>
  <si>
    <t>FUR-FU-10002885</t>
  </si>
  <si>
    <t>Magna Visual Magnetic Picture Hangers</t>
  </si>
  <si>
    <t>CA-2015-123925</t>
  </si>
  <si>
    <t>CA-2018-152485</t>
  </si>
  <si>
    <t>JD-15790</t>
  </si>
  <si>
    <t>John Dryer</t>
  </si>
  <si>
    <t>Coppell</t>
  </si>
  <si>
    <t>CA-2017-141586</t>
  </si>
  <si>
    <t>OFF-BI-10003981</t>
  </si>
  <si>
    <t>Avery Durable Plastic 1" Binders</t>
  </si>
  <si>
    <t>CA-2016-153388</t>
  </si>
  <si>
    <t>PC-19000</t>
  </si>
  <si>
    <t>Pauline Chand</t>
  </si>
  <si>
    <t>OFF-AR-10001868</t>
  </si>
  <si>
    <t>Prang Dustless Chalk Sticks</t>
  </si>
  <si>
    <t>CA-2018-103611</t>
  </si>
  <si>
    <t>JM-15535</t>
  </si>
  <si>
    <t>Jessica Myrick</t>
  </si>
  <si>
    <t>FUR-FU-10004270</t>
  </si>
  <si>
    <t>Eldon Image Series Desk Accessories, Burgundy</t>
  </si>
  <si>
    <t>CA-2015-111059</t>
  </si>
  <si>
    <t>TB-21400</t>
  </si>
  <si>
    <t>Tom Boeckenhauer</t>
  </si>
  <si>
    <t>CA-2018-116204</t>
  </si>
  <si>
    <t>OFF-BI-10001759</t>
  </si>
  <si>
    <t>Acco Pressboard Covers with Storage Hooks, 14 7/8" x 11", Dark Blue</t>
  </si>
  <si>
    <t>CA-2018-109946</t>
  </si>
  <si>
    <t>PL-18925</t>
  </si>
  <si>
    <t>Paul Lucas</t>
  </si>
  <si>
    <t>OFF-AR-10001419</t>
  </si>
  <si>
    <t>Newell 325</t>
  </si>
  <si>
    <t>CA-2016-103793</t>
  </si>
  <si>
    <t>OFF-PA-10001125</t>
  </si>
  <si>
    <t>Xerox 1988</t>
  </si>
  <si>
    <t>CA-2018-159884</t>
  </si>
  <si>
    <t>JF-15490</t>
  </si>
  <si>
    <t>Jeremy Farry</t>
  </si>
  <si>
    <t>Tempe</t>
  </si>
  <si>
    <t>OFF-ST-10000344</t>
  </si>
  <si>
    <t>Neat Ideas Personal Hanging Folder Files, Black</t>
  </si>
  <si>
    <t>CA-2018-124086</t>
  </si>
  <si>
    <t>MP-18175</t>
  </si>
  <si>
    <t>Mike Pelletier</t>
  </si>
  <si>
    <t>Laguna Niguel</t>
  </si>
  <si>
    <t>FUR-BO-10004015</t>
  </si>
  <si>
    <t>Bush Andora Bookcase, Maple/Graphite Gray Finish</t>
  </si>
  <si>
    <t>CA-2017-112389</t>
  </si>
  <si>
    <t>JM-15655</t>
  </si>
  <si>
    <t>Jim Mitchum</t>
  </si>
  <si>
    <t>Bridgeton</t>
  </si>
  <si>
    <t>OFF-ST-10000419</t>
  </si>
  <si>
    <t>Rogers Jumbo File, Granite</t>
  </si>
  <si>
    <t>CA-2015-166884</t>
  </si>
  <si>
    <t>CK-12205</t>
  </si>
  <si>
    <t>Chloris Kastensmidt</t>
  </si>
  <si>
    <t>FUR-FU-10003981</t>
  </si>
  <si>
    <t>CA-2015-107181</t>
  </si>
  <si>
    <t>DB-13270</t>
  </si>
  <si>
    <t>Deborah Brumfield</t>
  </si>
  <si>
    <t>OFF-BI-10004230</t>
  </si>
  <si>
    <t>GBC Recycled Grain Textured Covers</t>
  </si>
  <si>
    <t>CA-2015-150245</t>
  </si>
  <si>
    <t>Watertown</t>
  </si>
  <si>
    <t>CA-2016-111395</t>
  </si>
  <si>
    <t>OFF-PA-10000994</t>
  </si>
  <si>
    <t>Xerox 1915</t>
  </si>
  <si>
    <t>CA-2015-134278</t>
  </si>
  <si>
    <t>TEC-CO-10001046</t>
  </si>
  <si>
    <t>Canon Imageclass D680 Copier / Fax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</si>
  <si>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</si>
  <si>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</si>
  <si>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</si>
  <si>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</si>
  <si>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</si>
  <si>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</si>
  <si>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</si>
  <si>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</si>
  <si>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</si>
  <si>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</si>
  <si>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</si>
  <si>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</si>
  <si>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</si>
  <si>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</si>
  <si>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</si>
  <si>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</si>
  <si>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</si>
  <si>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</si>
  <si>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OFF-AR-10003732</t>
  </si>
  <si>
    <t>Newell 333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</si>
  <si>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</si>
  <si>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</si>
  <si>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</si>
  <si>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</si>
  <si>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</si>
  <si>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</si>
  <si>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OFF-ST-10001370</t>
  </si>
  <si>
    <t>Sensible Storage WireTech Storage Systems</t>
  </si>
  <si>
    <t>CA-2016-132101</t>
  </si>
  <si>
    <t>TEC-PH-10004539</t>
  </si>
  <si>
    <t>Wireless Extenders zBoost YX545 SOHO Signal Booster</t>
  </si>
  <si>
    <t>US-2018-152002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</si>
  <si>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</si>
  <si>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</si>
  <si>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</si>
  <si>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</si>
  <si>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US-2015-157385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</si>
  <si>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</si>
  <si>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</si>
  <si>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</si>
  <si>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</si>
  <si>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</si>
  <si>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</si>
  <si>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CA-2017-102456</t>
  </si>
  <si>
    <t>OFF-AP-10004336</t>
  </si>
  <si>
    <t>Conquest 14 Commercial Heavy-Duty Upright Vacuum, Collection System, Accessory Kit</t>
  </si>
  <si>
    <t>CA-2017-109911</t>
  </si>
  <si>
    <t>VG-21805</t>
  </si>
  <si>
    <t>Vivek Grady</t>
  </si>
  <si>
    <t>CA-2016-122826</t>
  </si>
  <si>
    <t>RD-19480</t>
  </si>
  <si>
    <t>Rick Duston</t>
  </si>
  <si>
    <t>Olympia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</si>
  <si>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</si>
  <si>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</si>
  <si>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</si>
  <si>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</si>
  <si>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</si>
  <si>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</si>
  <si>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</si>
  <si>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</si>
  <si>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</si>
  <si>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</si>
  <si>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</si>
  <si>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MD-17350</t>
  </si>
  <si>
    <t>Maribeth Dona</t>
  </si>
  <si>
    <t>FUR-CH-10004540</t>
  </si>
  <si>
    <t>Global Chrome Stack Chair</t>
  </si>
  <si>
    <t>CA-2017-164672</t>
  </si>
  <si>
    <t>FUR-FU-10001488</t>
  </si>
  <si>
    <t>Tenex 46" x 60" Computer Anti-Static Chairmat, Rectangular Shaped</t>
  </si>
  <si>
    <t>CA-2015-156349</t>
  </si>
  <si>
    <t>ML-17395</t>
  </si>
  <si>
    <t>Marina Lichtenstein</t>
  </si>
  <si>
    <t>US-2017-113509</t>
  </si>
  <si>
    <t>TEC-AC-10004855</t>
  </si>
  <si>
    <t>V7 USB Numeric Keypad</t>
  </si>
  <si>
    <t>CA-2016-130022</t>
  </si>
  <si>
    <t>JK-16120</t>
  </si>
  <si>
    <t>Julie Kriz</t>
  </si>
  <si>
    <t>OFF-LA-10002787</t>
  </si>
  <si>
    <t>Avery 480</t>
  </si>
  <si>
    <t>US-2017-118780</t>
  </si>
  <si>
    <t>OFF-ST-10000352</t>
  </si>
  <si>
    <t>Acco Perma 2700 Stacking Storage Drawers</t>
  </si>
  <si>
    <t>CA-2016-157084</t>
  </si>
  <si>
    <t>JG-15160</t>
  </si>
  <si>
    <t>James Galang</t>
  </si>
  <si>
    <t>CA-2016-164539</t>
  </si>
  <si>
    <t>PO-19180</t>
  </si>
  <si>
    <t>Philisse Overcash</t>
  </si>
  <si>
    <t>CA-2018-101049</t>
  </si>
  <si>
    <t>FUR-FU-10004415</t>
  </si>
  <si>
    <t>Stacking Tray, Side-Loading, Legal, Smoke</t>
  </si>
  <si>
    <t>CA-2016-105221</t>
  </si>
  <si>
    <t>VM-21685</t>
  </si>
  <si>
    <t>Valerie Mitchum</t>
  </si>
  <si>
    <t>CA-2015-135699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</si>
  <si>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</si>
  <si>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</si>
  <si>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</si>
  <si>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</si>
  <si>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</si>
  <si>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</si>
  <si>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</si>
  <si>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CA-2015-127159</t>
  </si>
  <si>
    <t>US-2016-157154</t>
  </si>
  <si>
    <t>FUR-TA-10001889</t>
  </si>
  <si>
    <t>Bush Advantage Collection Racetrack Conference Table</t>
  </si>
  <si>
    <t>CA-2017-107615</t>
  </si>
  <si>
    <t>RB-19645</t>
  </si>
  <si>
    <t>Robert Barroso</t>
  </si>
  <si>
    <t>North Las Vegas</t>
  </si>
  <si>
    <t>TEC-AC-10001013</t>
  </si>
  <si>
    <t>Logitech ClearChat Comfort/USB Headset H390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</si>
  <si>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</si>
  <si>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</si>
  <si>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</si>
  <si>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</si>
  <si>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</si>
  <si>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</si>
  <si>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CA-2017-122728</t>
  </si>
  <si>
    <t>EB-13930</t>
  </si>
  <si>
    <t>Eric Barreto</t>
  </si>
  <si>
    <t>CA-2015-122882</t>
  </si>
  <si>
    <t>CA-2018-149489</t>
  </si>
  <si>
    <t>DK-12835</t>
  </si>
  <si>
    <t>Damala Kotsonis</t>
  </si>
  <si>
    <t>OFF-AP-10002495</t>
  </si>
  <si>
    <t>Acco Smartsocket Table Surge Protector, 6 Color-Coded Adapter Outlets</t>
  </si>
  <si>
    <t>CA-2015-142839</t>
  </si>
  <si>
    <t>US-2017-154361</t>
  </si>
  <si>
    <t>HZ-14950</t>
  </si>
  <si>
    <t>Henia Zydlo</t>
  </si>
  <si>
    <t>FUR-FU-10004020</t>
  </si>
  <si>
    <t>Advantus Panel Wall Acrylic Frame</t>
  </si>
  <si>
    <t>CA-2015-135657</t>
  </si>
  <si>
    <t>CA-2016-114069</t>
  </si>
  <si>
    <t>OFF-BI-10000320</t>
  </si>
  <si>
    <t>GBC Plastic Binding Combs</t>
  </si>
  <si>
    <t>CA-2015-139857</t>
  </si>
  <si>
    <t>CD-12790</t>
  </si>
  <si>
    <t>Cynthia Delaney</t>
  </si>
  <si>
    <t>OFF-FA-10001843</t>
  </si>
  <si>
    <t>CA-2016-145401</t>
  </si>
  <si>
    <t>OFF-PA-10004405</t>
  </si>
  <si>
    <t>Rediform Voice Mail Log Books</t>
  </si>
  <si>
    <t>US-2018-124968</t>
  </si>
  <si>
    <t>MM-18055</t>
  </si>
  <si>
    <t>Michelle Moray</t>
  </si>
  <si>
    <t>CA-2018-104003</t>
  </si>
  <si>
    <t>FUR-BO-10003965</t>
  </si>
  <si>
    <t>O'Sullivan Manor Hill 2-Door Library in Brianna Oak</t>
  </si>
  <si>
    <t>CA-2017-154788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</si>
  <si>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</si>
  <si>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</si>
  <si>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</si>
  <si>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</si>
  <si>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</si>
  <si>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</si>
  <si>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TEC-AC-10003063</t>
  </si>
  <si>
    <t>Micro Innovations USB RF Wireless Keyboard with Mouse</t>
  </si>
  <si>
    <t>CA-2018-101483</t>
  </si>
  <si>
    <t>OFF-AP-10002082</t>
  </si>
  <si>
    <t>Holmes HEPA Air Purifier</t>
  </si>
  <si>
    <t>CA-2015-133270</t>
  </si>
  <si>
    <t>OFF-AR-10002656</t>
  </si>
  <si>
    <t>Sanford Liquid Accent Highlighters</t>
  </si>
  <si>
    <t>CA-2017-155670</t>
  </si>
  <si>
    <t>OFF-BI-10000138</t>
  </si>
  <si>
    <t>Acco Translucent Poly Ring Binders</t>
  </si>
  <si>
    <t>US-2015-157406</t>
  </si>
  <si>
    <t>DA-13450</t>
  </si>
  <si>
    <t>Dianna Arnett</t>
  </si>
  <si>
    <t>OFF-PA-10003543</t>
  </si>
  <si>
    <t>Xerox 1985</t>
  </si>
  <si>
    <t>CA-2018-116715</t>
  </si>
  <si>
    <t>OFF-ST-10004340</t>
  </si>
  <si>
    <t>Fellowes Mobile File Cart, Black</t>
  </si>
  <si>
    <t>CA-2016-135622</t>
  </si>
  <si>
    <t>TT-21460</t>
  </si>
  <si>
    <t>Tonja Turnell</t>
  </si>
  <si>
    <t>OFF-PA-10000100</t>
  </si>
  <si>
    <t>Xerox 1945</t>
  </si>
  <si>
    <t>CA-2015-141817</t>
  </si>
  <si>
    <t>MB-18085</t>
  </si>
  <si>
    <t>Mick Brown</t>
  </si>
  <si>
    <t>CA-2016-130785</t>
  </si>
  <si>
    <t>FUR-BO-10000330</t>
  </si>
  <si>
    <t>Sauder Camden County Barrister Bookcase, Planked Cherry Finish</t>
  </si>
  <si>
    <t>CA-2017-110254</t>
  </si>
  <si>
    <t>ML-17755</t>
  </si>
  <si>
    <t>Max Ludwig</t>
  </si>
  <si>
    <t>OFF-SU-10002573</t>
  </si>
  <si>
    <t>Acme 10" Easy Grip Assistive Scissors</t>
  </si>
  <si>
    <t>US-2015-158057</t>
  </si>
  <si>
    <t>CC-12685</t>
  </si>
  <si>
    <t>Craig Carroll</t>
  </si>
  <si>
    <t>Greensboro</t>
  </si>
  <si>
    <t>CA-2018-146024</t>
  </si>
  <si>
    <t>SC-20770</t>
  </si>
  <si>
    <t>Stewart Carmichael</t>
  </si>
  <si>
    <t>CA-2017-129686</t>
  </si>
  <si>
    <t>CA-2015-118976</t>
  </si>
  <si>
    <t>MY-18295</t>
  </si>
  <si>
    <t>Muhammed Yedwab</t>
  </si>
  <si>
    <t>Baltimore</t>
  </si>
  <si>
    <t>OFF-BI-10001628</t>
  </si>
  <si>
    <t>Acco Data Flex Cable Posts For Top &amp; Bottom Load Binders, 6" Capacity</t>
  </si>
  <si>
    <t>CA-2017-124667</t>
  </si>
  <si>
    <t>TEC-AC-10003447</t>
  </si>
  <si>
    <t>Micropad Numeric Keypads</t>
  </si>
  <si>
    <t>CA-2016-111094</t>
  </si>
  <si>
    <t>OFF-PA-10001609</t>
  </si>
  <si>
    <t>Tops Wirebound Message Log Books</t>
  </si>
  <si>
    <t>CA-2018-166317</t>
  </si>
  <si>
    <t>JE-15610</t>
  </si>
  <si>
    <t>Jim Epp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</si>
  <si>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</si>
  <si>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</si>
  <si>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</si>
  <si>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</si>
  <si>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</si>
  <si>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</si>
  <si>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CA-2015-102008</t>
  </si>
  <si>
    <t>CA-2015-120474</t>
  </si>
  <si>
    <t>RP-19390</t>
  </si>
  <si>
    <t>Resi Pölking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</si>
  <si>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</si>
  <si>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</si>
  <si>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</si>
  <si>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</si>
  <si>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</si>
  <si>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OFF-ST-10000777</t>
  </si>
  <si>
    <t>Companion Letter/Legal File, Black</t>
  </si>
  <si>
    <t>CA-2017-121034</t>
  </si>
  <si>
    <t>JF-15565</t>
  </si>
  <si>
    <t>Jill Fjeld</t>
  </si>
  <si>
    <t>US-2017-116729</t>
  </si>
  <si>
    <t>TEC-PH-10002200</t>
  </si>
  <si>
    <t>Samsung Galaxy Note 2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</si>
  <si>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</si>
  <si>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</si>
  <si>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</si>
  <si>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</si>
  <si>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</si>
  <si>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</si>
  <si>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CA-2016-164833</t>
  </si>
  <si>
    <t>OFF-LA-10000443</t>
  </si>
  <si>
    <t>Avery 501</t>
  </si>
  <si>
    <t>US-2015-130379</t>
  </si>
  <si>
    <t>JL-15235</t>
  </si>
  <si>
    <t>Janet Lee</t>
  </si>
  <si>
    <t>OFF-AP-10001394</t>
  </si>
  <si>
    <t>Harmony Air Purifier</t>
  </si>
  <si>
    <t>CA-2017-168956</t>
  </si>
  <si>
    <t>OFF-AP-10004233</t>
  </si>
  <si>
    <t>Honeywell Enviracaire Portable Air Cleaner for up to 8 x 10 Room</t>
  </si>
  <si>
    <t>CA-2017-167507</t>
  </si>
  <si>
    <t>Redmond</t>
  </si>
  <si>
    <t>CA-2017-109344</t>
  </si>
  <si>
    <t>CH-12070</t>
  </si>
  <si>
    <t>Cathy Hwang</t>
  </si>
  <si>
    <t>Raleigh</t>
  </si>
  <si>
    <t>TEC-PH-10002624</t>
  </si>
  <si>
    <t>Samsung Galaxy S4 Mini</t>
  </si>
  <si>
    <t>CA-2015-103373</t>
  </si>
  <si>
    <t>TEC-PH-10002885</t>
  </si>
  <si>
    <t>Apple iPhone 5</t>
  </si>
  <si>
    <t>CA-2016-131422</t>
  </si>
  <si>
    <t>FUR-CH-10001270</t>
  </si>
  <si>
    <t>Harbour Creations Steel Folding Chair</t>
  </si>
  <si>
    <t>CA-2018-122693</t>
  </si>
  <si>
    <t>NH-18610</t>
  </si>
  <si>
    <t>Nicole Hansen</t>
  </si>
  <si>
    <t>OFF-AP-10002518</t>
  </si>
  <si>
    <t>Kensington 7 Outlet MasterPiece Power Center</t>
  </si>
  <si>
    <t>CA-2015-117345</t>
  </si>
  <si>
    <t>BF-10975</t>
  </si>
  <si>
    <t>Barbara Fisher</t>
  </si>
  <si>
    <t>US-2018-158512</t>
  </si>
  <si>
    <t>CA-2016-160472</t>
  </si>
  <si>
    <t>RK-19300</t>
  </si>
  <si>
    <t>Ralph Kennedy</t>
  </si>
  <si>
    <t>South Bend</t>
  </si>
  <si>
    <t>OFF-ST-10000464</t>
  </si>
  <si>
    <t>Multi-Use Personal File Cart and Caster Set, Three Stacking Bins</t>
  </si>
  <si>
    <t>CA-2015-114643</t>
  </si>
  <si>
    <t>OFF-AR-10003631</t>
  </si>
  <si>
    <t>US-2018-158218</t>
  </si>
  <si>
    <t>US-2018-121251</t>
  </si>
  <si>
    <t>FUR-BO-10001918</t>
  </si>
  <si>
    <t>Sauder Forest Hills Library with Doors, Woodland Oak Finish</t>
  </si>
  <si>
    <t>CA-2015-151078</t>
  </si>
  <si>
    <t>CA-2016-127110</t>
  </si>
  <si>
    <t>OFF-PA-10003309</t>
  </si>
  <si>
    <t>Xerox 211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</si>
  <si>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</si>
  <si>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</si>
  <si>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</si>
  <si>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</si>
  <si>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</si>
  <si>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</si>
  <si>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</si>
  <si>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</si>
  <si>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</si>
  <si>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</si>
  <si>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</si>
  <si>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</si>
  <si>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</si>
  <si>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CJ-12010</t>
  </si>
  <si>
    <t>Caroline Jumper</t>
  </si>
  <si>
    <t>FUR-BO-10003272</t>
  </si>
  <si>
    <t>O'Sullivan Living Dimensions 5-Shelf Bookcases</t>
  </si>
  <si>
    <t>CA-2018-112039</t>
  </si>
  <si>
    <t>JC-15775</t>
  </si>
  <si>
    <t>John Castell</t>
  </si>
  <si>
    <t>CA-2018-118885</t>
  </si>
  <si>
    <t>US-2018-166611</t>
  </si>
  <si>
    <t>OFF-BI-10001191</t>
  </si>
  <si>
    <t>Canvas Sectional Post Binders</t>
  </si>
  <si>
    <t>CA-2016-109512</t>
  </si>
  <si>
    <t>OFF-EN-10002621</t>
  </si>
  <si>
    <t>CA-2018-154718</t>
  </si>
  <si>
    <t>Keller</t>
  </si>
  <si>
    <t>OFF-LA-10003714</t>
  </si>
  <si>
    <t>Avery 510</t>
  </si>
  <si>
    <t>CA-2015-142587</t>
  </si>
  <si>
    <t>CA-2015-157623</t>
  </si>
  <si>
    <t>Huntington Beach</t>
  </si>
  <si>
    <t>OFF-PA-10001204</t>
  </si>
  <si>
    <t>Xerox 1972</t>
  </si>
  <si>
    <t>CA-2016-109197</t>
  </si>
  <si>
    <t>Missoula</t>
  </si>
  <si>
    <t>OFF-BI-10004632</t>
  </si>
  <si>
    <t>Ibico Hi-Tech Manual Binding System</t>
  </si>
  <si>
    <t>CA-2018-141789</t>
  </si>
  <si>
    <t>AC-10450</t>
  </si>
  <si>
    <t>Amy Cox</t>
  </si>
  <si>
    <t>OFF-BI-10001359</t>
  </si>
  <si>
    <t>GBC DocuBind TL300 Electric Binding System</t>
  </si>
  <si>
    <t>CA-2017-140543</t>
  </si>
  <si>
    <t>Florence</t>
  </si>
  <si>
    <t>CA-2017-151141</t>
  </si>
  <si>
    <t>TEC-PH-10004924</t>
  </si>
  <si>
    <t>SKILCRAFT Telephone Shoulder Rest, 2" x 6.5" x 2.5", Black</t>
  </si>
  <si>
    <t>US-2017-150567</t>
  </si>
  <si>
    <t>Apopka</t>
  </si>
  <si>
    <t>OFF-BI-10001757</t>
  </si>
  <si>
    <t>Pressboard Hanging Data Binders for Unburst Sheets</t>
  </si>
  <si>
    <t>CA-2017-105963</t>
  </si>
  <si>
    <t>TEC-AC-10003832</t>
  </si>
  <si>
    <t>Imation 16GB Mini TravelDrive USB 2.0 Flash Drive</t>
  </si>
  <si>
    <t>CA-2015-103366</t>
  </si>
  <si>
    <t>EH-13990</t>
  </si>
  <si>
    <t>Erica Hackney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</si>
  <si>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</si>
  <si>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</si>
  <si>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</si>
  <si>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</si>
  <si>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</si>
  <si>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</si>
  <si>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</si>
  <si>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</si>
  <si>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</si>
  <si>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CA-2017-156685</t>
  </si>
  <si>
    <t>SC-20230</t>
  </si>
  <si>
    <t>Scot Coram</t>
  </si>
  <si>
    <t>TEC-PH-10004345</t>
  </si>
  <si>
    <t>Cisco SPA 502G IP Phone</t>
  </si>
  <si>
    <t>CA-2018-102834</t>
  </si>
  <si>
    <t>TEC-AC-10001908</t>
  </si>
  <si>
    <t>Logitech Wireless Headset h800</t>
  </si>
  <si>
    <t>US-2017-139710</t>
  </si>
  <si>
    <t>TEC-PH-10001198</t>
  </si>
  <si>
    <t>Avaya 4621SW VoIP phone</t>
  </si>
  <si>
    <t>US-2018-101539</t>
  </si>
  <si>
    <t>OFF-PA-10001972</t>
  </si>
  <si>
    <t>Xerox 214</t>
  </si>
  <si>
    <t>CA-2018-161200</t>
  </si>
  <si>
    <t>Lafayette</t>
  </si>
  <si>
    <t>FUR-BO-10000468</t>
  </si>
  <si>
    <t>O'Sullivan 2-Shelf Heavy-Duty Bookcases</t>
  </si>
  <si>
    <t>CA-2018-144064</t>
  </si>
  <si>
    <t>CA-2018-140242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</si>
  <si>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</si>
  <si>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</si>
  <si>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</si>
  <si>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</si>
  <si>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</si>
  <si>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</si>
  <si>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</si>
  <si>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CA-2015-110408</t>
  </si>
  <si>
    <t>CA-2016-119592</t>
  </si>
  <si>
    <t>OFF-BI-10004187</t>
  </si>
  <si>
    <t>3-ring staple pack</t>
  </si>
  <si>
    <t>CA-2015-122749</t>
  </si>
  <si>
    <t>Oklahoma City</t>
  </si>
  <si>
    <t>TEC-PH-10003811</t>
  </si>
  <si>
    <t>Jabra Supreme Plus Driver Edition Headset</t>
  </si>
  <si>
    <t>CA-2015-164721</t>
  </si>
  <si>
    <t>LW-16825</t>
  </si>
  <si>
    <t>Laurel Workman</t>
  </si>
  <si>
    <t>OFF-AP-10000240</t>
  </si>
  <si>
    <t>Belkin F9G930V10-GRY 9 Outlet Surge</t>
  </si>
  <si>
    <t>CA-2018-111374</t>
  </si>
  <si>
    <t>CB-12415</t>
  </si>
  <si>
    <t>Christy Brittain</t>
  </si>
  <si>
    <t>OFF-BI-10004970</t>
  </si>
  <si>
    <t>ACCOHIDE 3-Ring Binder, Blue, 1"</t>
  </si>
  <si>
    <t>CA-2018-133648</t>
  </si>
  <si>
    <t>CA-2015-131905</t>
  </si>
  <si>
    <t>ND-18460</t>
  </si>
  <si>
    <t>Neil Ducich</t>
  </si>
  <si>
    <t>Chesapeake</t>
  </si>
  <si>
    <t>CA-2018-166128</t>
  </si>
  <si>
    <t>LW-17215</t>
  </si>
  <si>
    <t>Luke Weiss</t>
  </si>
  <si>
    <t>TEC-AC-10001767</t>
  </si>
  <si>
    <t>SanDisk Ultra 64 GB MicroSDHC Class 10 Memory Card</t>
  </si>
  <si>
    <t>CA-2018-165386</t>
  </si>
  <si>
    <t>FUR-BO-10003034</t>
  </si>
  <si>
    <t>O'Sullivan Elevations Bookcase, Cherry Finish</t>
  </si>
  <si>
    <t>CA-2015-116407</t>
  </si>
  <si>
    <t>Johnson City</t>
  </si>
  <si>
    <t>US-2018-111241</t>
  </si>
  <si>
    <t>GM-14500</t>
  </si>
  <si>
    <t>Gene McClure</t>
  </si>
  <si>
    <t>CA-2016-114237</t>
  </si>
  <si>
    <t>MC-17275</t>
  </si>
  <si>
    <t>Marc Crier</t>
  </si>
  <si>
    <t>FUR-BO-10004409</t>
  </si>
  <si>
    <t>Safco Value Mate Series Steel Bookcases, Baked Enamel Finish on Steel, Gray</t>
  </si>
  <si>
    <t>CA-2016-117961</t>
  </si>
  <si>
    <t>Leominster</t>
  </si>
  <si>
    <t>CA-2016-119214</t>
  </si>
  <si>
    <t>CW-11905</t>
  </si>
  <si>
    <t>Carl Weiss</t>
  </si>
  <si>
    <t>Bozeman</t>
  </si>
  <si>
    <t>OFF-PA-10002893</t>
  </si>
  <si>
    <t>Wirebound Service Call Books, 5 1/2" x 4"</t>
  </si>
  <si>
    <t>CA-2016-122287</t>
  </si>
  <si>
    <t>SN-20560</t>
  </si>
  <si>
    <t>Skye Norling</t>
  </si>
  <si>
    <t>OFF-PA-10001661</t>
  </si>
  <si>
    <t>Xerox 1922</t>
  </si>
  <si>
    <t>CA-2016-104493</t>
  </si>
  <si>
    <t>OFF-BI-10004817</t>
  </si>
  <si>
    <t>GBC Personal VeloBind Strips</t>
  </si>
  <si>
    <t>CA-2015-129168</t>
  </si>
  <si>
    <t>OFF-PA-10001639</t>
  </si>
  <si>
    <t>Xerox 203</t>
  </si>
  <si>
    <t>CA-2016-142237</t>
  </si>
  <si>
    <t>CA-2015-106439</t>
  </si>
  <si>
    <t>OFF-FA-10002975</t>
  </si>
  <si>
    <t>CA-2016-133452</t>
  </si>
  <si>
    <t>Pomona</t>
  </si>
  <si>
    <t>TEC-AC-10002800</t>
  </si>
  <si>
    <t>Plantronics Audio 478 Stereo USB Headset</t>
  </si>
  <si>
    <t>CA-2017-146521</t>
  </si>
  <si>
    <t>CC-12610</t>
  </si>
  <si>
    <t>Corey Catlett</t>
  </si>
  <si>
    <t>CA-2018-122504</t>
  </si>
  <si>
    <t>TEC-AC-10003289</t>
  </si>
  <si>
    <t>Anker Ultra-Slim Mini Bluetooth 3.0 Wireless Keyboard</t>
  </si>
  <si>
    <t>CA-2018-104647</t>
  </si>
  <si>
    <t>OFF-PA-10002870</t>
  </si>
  <si>
    <t>Ampad Phone Message Book, Recycled, 400 Message Capacity, 5 ¾” x 11”</t>
  </si>
  <si>
    <t>CA-2017-140501</t>
  </si>
  <si>
    <t>OFF-LA-10003510</t>
  </si>
  <si>
    <t>Avery 4027 File Folder Labels for Dot Matrix Printers, 5000 Labels per Box, White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</si>
  <si>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</si>
  <si>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</si>
  <si>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</si>
  <si>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</si>
  <si>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</si>
  <si>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</si>
  <si>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</si>
  <si>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OFF-BI-10004094</t>
  </si>
  <si>
    <t>GBC Standard Plastic Binding Systems Combs</t>
  </si>
  <si>
    <t>CA-2015-145926</t>
  </si>
  <si>
    <t>Moorhead</t>
  </si>
  <si>
    <t>FUR-CH-10004289</t>
  </si>
  <si>
    <t>Global Super Steno Chair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</si>
  <si>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</si>
  <si>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</si>
  <si>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</si>
  <si>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</si>
  <si>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</si>
  <si>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</si>
  <si>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CA-2015-123295</t>
  </si>
  <si>
    <t>AH-10120</t>
  </si>
  <si>
    <t>Adrian Hane</t>
  </si>
  <si>
    <t>FUR-CH-10002372</t>
  </si>
  <si>
    <t>Office Star - Ergonomically Designed Knee Chair</t>
  </si>
  <si>
    <t>CA-2018-167101</t>
  </si>
  <si>
    <t>Xerox 1888</t>
  </si>
  <si>
    <t>CA-2018-155460</t>
  </si>
  <si>
    <t>CA-2015-126032</t>
  </si>
  <si>
    <t>BS-11665</t>
  </si>
  <si>
    <t>Brian Stugart</t>
  </si>
  <si>
    <t>US-2015-114188</t>
  </si>
  <si>
    <t>RF-19345</t>
  </si>
  <si>
    <t>Randy Ferguson</t>
  </si>
  <si>
    <t>OFF-AP-10000124</t>
  </si>
  <si>
    <t>Acco 6 Outlet Guardian Basic Surge Suppressor</t>
  </si>
  <si>
    <t>CA-2016-122210</t>
  </si>
  <si>
    <t>WB-21850</t>
  </si>
  <si>
    <t>William Brown</t>
  </si>
  <si>
    <t>US-2018-157896</t>
  </si>
  <si>
    <t>US-2017-152051</t>
  </si>
  <si>
    <t>York</t>
  </si>
  <si>
    <t>CA-2017-141019</t>
  </si>
  <si>
    <t>FUR-FU-10002937</t>
  </si>
  <si>
    <t>GE 48" Fluorescent Tube, Cool White Energy Saver, 34 Watts, 30/Box</t>
  </si>
  <si>
    <t>CA-2017-101938</t>
  </si>
  <si>
    <t>Oakland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</si>
  <si>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</si>
  <si>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</si>
  <si>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</si>
  <si>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</si>
  <si>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</si>
  <si>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</si>
  <si>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</si>
  <si>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</si>
  <si>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CA-2018-117870</t>
  </si>
  <si>
    <t>JH-15820</t>
  </si>
  <si>
    <t>John Huston</t>
  </si>
  <si>
    <t>Kent</t>
  </si>
  <si>
    <t>CA-2017-112025</t>
  </si>
  <si>
    <t>OFF-BI-10002353</t>
  </si>
  <si>
    <t>GBC VeloBind Cover Sets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</si>
  <si>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</si>
  <si>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</si>
  <si>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</si>
  <si>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</si>
  <si>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</si>
  <si>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</si>
  <si>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</si>
  <si>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OFF-BI-10000309</t>
  </si>
  <si>
    <t>GBC Twin Loop Wire Binding Elements, 9/16" Spine, Black</t>
  </si>
  <si>
    <t>CA-2018-143063</t>
  </si>
  <si>
    <t>IL-15100</t>
  </si>
  <si>
    <t>Ivan Liston</t>
  </si>
  <si>
    <t>OFF-EN-10003134</t>
  </si>
  <si>
    <t>CA-2015-163013</t>
  </si>
  <si>
    <t>BF-11080</t>
  </si>
  <si>
    <t>Bart Folk</t>
  </si>
  <si>
    <t>OFF-AR-10001954</t>
  </si>
  <si>
    <t>Newell 331</t>
  </si>
  <si>
    <t>CA-2016-138002</t>
  </si>
  <si>
    <t>OFF-BI-10002160</t>
  </si>
  <si>
    <t>Acco Hanging Data Binders</t>
  </si>
  <si>
    <t>CA-2016-128860</t>
  </si>
  <si>
    <t>FUR-FU-10001473</t>
  </si>
  <si>
    <t>Eldon Executive Woodline II Desk Accessories, Mahogany</t>
  </si>
  <si>
    <t>US-2015-103905</t>
  </si>
  <si>
    <t>AW-10930</t>
  </si>
  <si>
    <t>Arthur Wiediger</t>
  </si>
  <si>
    <t>CA-2015-125556</t>
  </si>
  <si>
    <t>ML-17410</t>
  </si>
  <si>
    <t>Maris LaWare</t>
  </si>
  <si>
    <t>TEC-PH-10001079</t>
  </si>
  <si>
    <t>Polycom SoundPoint Pro SE-225 Corded phone</t>
  </si>
  <si>
    <t>CA-2018-130841</t>
  </si>
  <si>
    <t>MH-17620</t>
  </si>
  <si>
    <t>Matt Hagelstein</t>
  </si>
  <si>
    <t>OFF-BI-10000145</t>
  </si>
  <si>
    <t>Zipper Ring Binder Pockets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</si>
  <si>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</si>
  <si>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</si>
  <si>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</si>
  <si>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</si>
  <si>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</si>
  <si>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</si>
  <si>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</si>
  <si>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</si>
  <si>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</si>
  <si>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CA-2015-128055</t>
  </si>
  <si>
    <t>AA-10315</t>
  </si>
  <si>
    <t>Alex Avila</t>
  </si>
  <si>
    <t>OFF-BI-10004390</t>
  </si>
  <si>
    <t>GBC DocuBind 200 Manual Binding Machine</t>
  </si>
  <si>
    <t>CA-2017-122322</t>
  </si>
  <si>
    <t>RH-19510</t>
  </si>
  <si>
    <t>Rick Huthwaite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</si>
  <si>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</si>
  <si>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</si>
  <si>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</si>
  <si>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</si>
  <si>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</si>
  <si>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CA-2016-169201</t>
  </si>
  <si>
    <t>HG-14965</t>
  </si>
  <si>
    <t>Henry Goldwyn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</si>
  <si>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</si>
  <si>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</si>
  <si>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</si>
  <si>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</si>
  <si>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</si>
  <si>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</si>
  <si>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</si>
  <si>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</si>
  <si>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</si>
  <si>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</si>
  <si>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</si>
  <si>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</si>
  <si>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</si>
  <si>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</si>
  <si>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CA-2016-142944</t>
  </si>
  <si>
    <t>FUR-FU-10000308</t>
  </si>
  <si>
    <t>Deflect-o Glass Clear Studded Chair Mats</t>
  </si>
  <si>
    <t>CA-2015-104283</t>
  </si>
  <si>
    <t>Southaven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</si>
  <si>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</si>
  <si>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</si>
  <si>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</si>
  <si>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</si>
  <si>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</si>
  <si>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</si>
  <si>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</si>
  <si>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</si>
  <si>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</si>
  <si>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</si>
  <si>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</si>
  <si>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</si>
  <si>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TEC-PH-10001557</t>
  </si>
  <si>
    <t>Pyle PMP37LED</t>
  </si>
  <si>
    <t>CA-2016-160794</t>
  </si>
  <si>
    <t>CA-2016-117828</t>
  </si>
  <si>
    <t>US-2016-147739</t>
  </si>
  <si>
    <t>JD-16150</t>
  </si>
  <si>
    <t>Justin Deggeller</t>
  </si>
  <si>
    <t>FUR-FU-10001468</t>
  </si>
  <si>
    <t>Tenex Antistatic Computer Chair Mats</t>
  </si>
  <si>
    <t>CA-2018-169285</t>
  </si>
  <si>
    <t>RW-19690</t>
  </si>
  <si>
    <t>Robert Waldorf</t>
  </si>
  <si>
    <t>CA-2015-110639</t>
  </si>
  <si>
    <t>OFF-PA-10003936</t>
  </si>
  <si>
    <t>Xerox 1994</t>
  </si>
  <si>
    <t>CA-2015-121727</t>
  </si>
  <si>
    <t>JK-15625</t>
  </si>
  <si>
    <t>Jim Karlsson</t>
  </si>
  <si>
    <t>US-2015-155894</t>
  </si>
  <si>
    <t>CL-11890</t>
  </si>
  <si>
    <t>Carl Ludwig</t>
  </si>
  <si>
    <t>CA-2017-119025</t>
  </si>
  <si>
    <t>OFF-AP-10001205</t>
  </si>
  <si>
    <t>Belkin 5 Outlet SurgeMaster Power Centers</t>
  </si>
  <si>
    <t>US-2017-129469</t>
  </si>
  <si>
    <t>FUR-FU-10002298</t>
  </si>
  <si>
    <t>Rubbermaid ClusterMat Chairmats, Mat Size- 66" x 60", Lip 20" x 11" -90 Degree Angle</t>
  </si>
  <si>
    <t>CA-2018-119669</t>
  </si>
  <si>
    <t>TP-21130</t>
  </si>
  <si>
    <t>Theone Pippenger</t>
  </si>
  <si>
    <t>OFF-FA-10000053</t>
  </si>
  <si>
    <t>Revere Boxed Rubber Bands by Revere</t>
  </si>
  <si>
    <t>CA-2017-118052</t>
  </si>
  <si>
    <t>BE-11455</t>
  </si>
  <si>
    <t>Brad Eason</t>
  </si>
  <si>
    <t>CA-2017-128111</t>
  </si>
  <si>
    <t>Malden</t>
  </si>
  <si>
    <t>CA-2016-137897</t>
  </si>
  <si>
    <t>PJ-18835</t>
  </si>
  <si>
    <t>Patrick Jones</t>
  </si>
  <si>
    <t>TEC-AC-10002217</t>
  </si>
  <si>
    <t>Imation Clip USB flash drive - 8 GB</t>
  </si>
  <si>
    <t>CA-2018-169264</t>
  </si>
  <si>
    <t>CA-2018-145877</t>
  </si>
  <si>
    <t>AS-10090</t>
  </si>
  <si>
    <t>Adam Shillingsburg</t>
  </si>
  <si>
    <t>US-2017-110170</t>
  </si>
  <si>
    <t>HM-14860</t>
  </si>
  <si>
    <t>Harry Marie</t>
  </si>
  <si>
    <t>Huntsville</t>
  </si>
  <si>
    <t>FUR-BO-10000780</t>
  </si>
  <si>
    <t>O'Sullivan Plantations 2-Door Library in Landvery Oak</t>
  </si>
  <si>
    <t>CA-2018-155985</t>
  </si>
  <si>
    <t>BE-11335</t>
  </si>
  <si>
    <t>Bill Eplett</t>
  </si>
  <si>
    <t>FUR-FU-10000758</t>
  </si>
  <si>
    <t>DAX Natural Wood-Tone Poster Frame</t>
  </si>
  <si>
    <t>CA-2016-142041</t>
  </si>
  <si>
    <t>EM-13810</t>
  </si>
  <si>
    <t>Eleni McCrary</t>
  </si>
  <si>
    <t>CA-2017-156300</t>
  </si>
  <si>
    <t>FUR-CH-10001714</t>
  </si>
  <si>
    <t>Global Leather &amp; Oak Executive Chair, Burgundy</t>
  </si>
  <si>
    <t>CA-2017-155551</t>
  </si>
  <si>
    <t>CR-12580</t>
  </si>
  <si>
    <t>Clay Rozendal</t>
  </si>
  <si>
    <t>Elmhurst</t>
  </si>
  <si>
    <t>CA-2017-169922</t>
  </si>
  <si>
    <t>OFF-BI-10003784</t>
  </si>
  <si>
    <t>Computer Printout Index Tabs</t>
  </si>
  <si>
    <t>CA-2018-100748</t>
  </si>
  <si>
    <t>CA-2015-148586</t>
  </si>
  <si>
    <t>AZ-10750</t>
  </si>
  <si>
    <t>Annie Zypern</t>
  </si>
  <si>
    <t>FUR-CH-10002439</t>
  </si>
  <si>
    <t>Iceberg Nesting Folding Chair, 19w x 6d x 43h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</si>
  <si>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</si>
  <si>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</si>
  <si>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</si>
  <si>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</si>
  <si>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</si>
  <si>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</si>
  <si>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FUR-FU-10002597</t>
  </si>
  <si>
    <t>C-Line Magnetic Cubicle Keepers, Clear Polypropylene</t>
  </si>
  <si>
    <t>CA-2017-146934</t>
  </si>
  <si>
    <t>AF-10870</t>
  </si>
  <si>
    <t>Art Ferguson</t>
  </si>
  <si>
    <t>Passaic</t>
  </si>
  <si>
    <t>CA-2017-119165</t>
  </si>
  <si>
    <t>FUR-CH-10000988</t>
  </si>
  <si>
    <t>Hon Olson Stacker Stools</t>
  </si>
  <si>
    <t>CA-2017-140207</t>
  </si>
  <si>
    <t>OFF-BI-10003963</t>
  </si>
  <si>
    <t>Cardinal Holdit Data Disk Pockets</t>
  </si>
  <si>
    <t>CA-2018-138548</t>
  </si>
  <si>
    <t>OFF-AP-10002578</t>
  </si>
  <si>
    <t>Fellowes Premier Superior Surge Suppressor, 10-Outlet, With Phone and Remote</t>
  </si>
  <si>
    <t>CA-2018-148691</t>
  </si>
  <si>
    <t>CA-2018-126067</t>
  </si>
  <si>
    <t>KN-16705</t>
  </si>
  <si>
    <t>Kristina Nunn</t>
  </si>
  <si>
    <t>TEC-PH-10000912</t>
  </si>
  <si>
    <t>Anker 24W Portable Micro USB Car Charger</t>
  </si>
  <si>
    <t>CA-2015-113579</t>
  </si>
  <si>
    <t>OFF-PA-10001457</t>
  </si>
  <si>
    <t>White GlueTop Scratch Pads</t>
  </si>
  <si>
    <t>CA-2015-136644</t>
  </si>
  <si>
    <t>SC-20575</t>
  </si>
  <si>
    <t>Sonia Cooley</t>
  </si>
  <si>
    <t>Mishawaka</t>
  </si>
  <si>
    <t>US-2018-133781</t>
  </si>
  <si>
    <t>DC-12850</t>
  </si>
  <si>
    <t>Dan Campbell</t>
  </si>
  <si>
    <t>OFF-EN-10004483</t>
  </si>
  <si>
    <t>#10 White Business Envelopes,4 1/8 x 9 1/2</t>
  </si>
  <si>
    <t>CA-2015-143917</t>
  </si>
  <si>
    <t>OFF-ST-10001228</t>
  </si>
  <si>
    <t>Fellowes Personal Hanging Folder Files, Navy</t>
  </si>
  <si>
    <t>CA-2016-120397</t>
  </si>
  <si>
    <t>RB-19435</t>
  </si>
  <si>
    <t>Richard Bierner</t>
  </si>
  <si>
    <t>OFF-AP-10001293</t>
  </si>
  <si>
    <t>Belkin 8 Outlet Surge Protector</t>
  </si>
  <si>
    <t>CA-2017-136812</t>
  </si>
  <si>
    <t>OFF-ST-10003470</t>
  </si>
  <si>
    <t>Tennsco Snap-Together Open Shelving Units, Starter Sets and Add-On Units</t>
  </si>
  <si>
    <t>CA-2015-106572</t>
  </si>
  <si>
    <t>Bowling Green</t>
  </si>
  <si>
    <t>CA-2018-123134</t>
  </si>
  <si>
    <t>Westfield</t>
  </si>
  <si>
    <t>FUR-FU-10003975</t>
  </si>
  <si>
    <t>Eldon Advantage Chair Mats for Low to Medium Pile Carpets</t>
  </si>
  <si>
    <t>CA-2016-124541</t>
  </si>
  <si>
    <t>TT-21220</t>
  </si>
  <si>
    <t>Thomas Thornton</t>
  </si>
  <si>
    <t>CA-2015-108707</t>
  </si>
  <si>
    <t>DB-12910</t>
  </si>
  <si>
    <t>Daniel Byrd</t>
  </si>
  <si>
    <t>OFF-PA-10000788</t>
  </si>
  <si>
    <t>Xerox 210</t>
  </si>
  <si>
    <t>CA-2016-168746</t>
  </si>
  <si>
    <t>CA-2016-113404</t>
  </si>
  <si>
    <t>FUR-CH-10003312</t>
  </si>
  <si>
    <t>Hon 2090 “Pillow Soft” Series Mid Back Swivel/Tilt Chairs</t>
  </si>
  <si>
    <t>US-2016-128090</t>
  </si>
  <si>
    <t>JM-15865</t>
  </si>
  <si>
    <t>John Murray</t>
  </si>
  <si>
    <t>OFF-AR-10002255</t>
  </si>
  <si>
    <t>Newell 346</t>
  </si>
  <si>
    <t>CA-2017-155439</t>
  </si>
  <si>
    <t>US-2017-126844</t>
  </si>
  <si>
    <t>FUR-FU-10004909</t>
  </si>
  <si>
    <t>Contemporary Wood/Metal Frame</t>
  </si>
  <si>
    <t>CA-2016-110632</t>
  </si>
  <si>
    <t>HR-14830</t>
  </si>
  <si>
    <t>Harold Ryan</t>
  </si>
  <si>
    <t>TEC-AC-10000387</t>
  </si>
  <si>
    <t>KeyTronic KT800P2 - Keyboard - Black</t>
  </si>
  <si>
    <t>CA-2018-123967</t>
  </si>
  <si>
    <t>SF-20200</t>
  </si>
  <si>
    <t>Sarah Foster</t>
  </si>
  <si>
    <t>Bellingham</t>
  </si>
  <si>
    <t>OFF-BI-10001308</t>
  </si>
  <si>
    <t>GBC Standard Plastic Binding Systems' Combs</t>
  </si>
  <si>
    <t>CA-2018-134404</t>
  </si>
  <si>
    <t>TEC-PH-10000576</t>
  </si>
  <si>
    <t>AT&amp;T 1080 Corded phone</t>
  </si>
  <si>
    <t>CA-2015-129091</t>
  </si>
  <si>
    <t>OFF-EN-10004955</t>
  </si>
  <si>
    <t>Fashion Color Clasp Envelopes</t>
  </si>
  <si>
    <t>US-2015-155502</t>
  </si>
  <si>
    <t>Alexandria</t>
  </si>
  <si>
    <t>FUR-FU-10004587</t>
  </si>
  <si>
    <t>GE General Use Halogen Bulbs, 100 Watts, 1 Bulb per Pack</t>
  </si>
  <si>
    <t>CA-2018-108553</t>
  </si>
  <si>
    <t>OFF-AP-10000026</t>
  </si>
  <si>
    <t>Tripp Lite Isotel 6 Outlet Surge Protector with Fax/Modem Protection</t>
  </si>
  <si>
    <t>CA-2015-112718</t>
  </si>
  <si>
    <t>KN-16450</t>
  </si>
  <si>
    <t>Kean Nguyen</t>
  </si>
  <si>
    <t>OFF-BI-10000591</t>
  </si>
  <si>
    <t>Avery Binder Labels</t>
  </si>
  <si>
    <t>CA-2017-154053</t>
  </si>
  <si>
    <t>OFF-AR-10003727</t>
  </si>
  <si>
    <t>Berol Giant Pencil Sharpener</t>
  </si>
  <si>
    <t>CA-2015-147298</t>
  </si>
  <si>
    <t>AG-10300</t>
  </si>
  <si>
    <t>Aleksandra Gannaway</t>
  </si>
  <si>
    <t>CA-2018-127180</t>
  </si>
  <si>
    <t>TA-21385</t>
  </si>
  <si>
    <t>Tom Ashbrook</t>
  </si>
  <si>
    <t>TEC-CO-10004722</t>
  </si>
  <si>
    <t>Canon imageCLASS 2200 Advanced Copier</t>
  </si>
  <si>
    <t>CA-2016-116750</t>
  </si>
  <si>
    <t>Fayetteville</t>
  </si>
  <si>
    <t>FUR-FU-10003829</t>
  </si>
  <si>
    <t>Stackable Trays</t>
  </si>
  <si>
    <t>CA-2016-162369</t>
  </si>
  <si>
    <t>TT-21265</t>
  </si>
  <si>
    <t>Tim Taslimi</t>
  </si>
  <si>
    <t>CA-2016-169740</t>
  </si>
  <si>
    <t>Hot Springs</t>
  </si>
  <si>
    <t>TEC-AC-10000927</t>
  </si>
  <si>
    <t>Anker Ultrathin Bluetooth Wireless Keyboard Aluminum Cover with Stand</t>
  </si>
  <si>
    <t>CA-2017-149111</t>
  </si>
  <si>
    <t>BF-11170</t>
  </si>
  <si>
    <t>Ben Ferrer</t>
  </si>
  <si>
    <t>CA-2017-150343</t>
  </si>
  <si>
    <t>OFF-EN-10004030</t>
  </si>
  <si>
    <t>Convenience Packs of Business Envelopes</t>
  </si>
  <si>
    <t>CA-2017-164784</t>
  </si>
  <si>
    <t>HF-14995</t>
  </si>
  <si>
    <t>Herbert Flentye</t>
  </si>
  <si>
    <t>US-2016-139759</t>
  </si>
  <si>
    <t>NL-18310</t>
  </si>
  <si>
    <t>Nancy Lomonaco</t>
  </si>
  <si>
    <t>CA-2016-153220</t>
  </si>
  <si>
    <t>OFF-PA-10003016</t>
  </si>
  <si>
    <t>Adams "While You Were Out" Message Pads</t>
  </si>
  <si>
    <t>CA-2018-156412</t>
  </si>
  <si>
    <t>US-2017-144211</t>
  </si>
  <si>
    <t>Englewood</t>
  </si>
  <si>
    <t>OFF-PA-10002246</t>
  </si>
  <si>
    <t>Wirebound Four 2-3/4 x 5 Forms per Page, 400 Sets per Book</t>
  </si>
  <si>
    <t>CA-2015-143182</t>
  </si>
  <si>
    <t>Executive Impressions 13" Clairmont Wall Clock</t>
  </si>
  <si>
    <t>CA-2015-145317</t>
  </si>
  <si>
    <t>SM-20320</t>
  </si>
  <si>
    <t>Sean Miller</t>
  </si>
  <si>
    <t>TEC-MA-10003626</t>
  </si>
  <si>
    <t>Hewlett-Packard Deskjet 6540 Color Inkjet Printer</t>
  </si>
  <si>
    <t>CA-2015-143413</t>
  </si>
  <si>
    <t>OFF-PA-10002319</t>
  </si>
  <si>
    <t>Xerox 1944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</si>
  <si>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</si>
  <si>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</si>
  <si>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</si>
  <si>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</si>
  <si>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</si>
  <si>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</si>
  <si>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CA-2015-110030</t>
  </si>
  <si>
    <t>CA-2015-153479</t>
  </si>
  <si>
    <t>DF-13135</t>
  </si>
  <si>
    <t>David Flashing</t>
  </si>
  <si>
    <t>OFF-LA-10004689</t>
  </si>
  <si>
    <t>Avery 512</t>
  </si>
  <si>
    <t>CA-2018-104801</t>
  </si>
  <si>
    <t>FH-14350</t>
  </si>
  <si>
    <t>Fred Harton</t>
  </si>
  <si>
    <t>CA-2015-107594</t>
  </si>
  <si>
    <t>CA-2016-129770</t>
  </si>
  <si>
    <t>JE-15715</t>
  </si>
  <si>
    <t>Joe Elijah</t>
  </si>
  <si>
    <t>Las Cruces</t>
  </si>
  <si>
    <t>CA-2017-165015</t>
  </si>
  <si>
    <t>CA-2016-140144</t>
  </si>
  <si>
    <t>FUR-FU-10002253</t>
  </si>
  <si>
    <t>Howard Miller 13" Diameter Pewter Finish Round Wall Clock</t>
  </si>
  <si>
    <t>CA-2018-163321</t>
  </si>
  <si>
    <t>FM-14380</t>
  </si>
  <si>
    <t>Fred McMath</t>
  </si>
  <si>
    <t>TEC-AC-10004571</t>
  </si>
  <si>
    <t>Logitech G700s Rechargeable Gaming Mouse</t>
  </si>
  <si>
    <t>CA-2016-110247</t>
  </si>
  <si>
    <t>RH-19555</t>
  </si>
  <si>
    <t>Ritsa Hightower</t>
  </si>
  <si>
    <t>Tallahassee</t>
  </si>
  <si>
    <t>OFF-BI-10001553</t>
  </si>
  <si>
    <t>SpineVue Locking Slant-D Ring Binders by Cardinal</t>
  </si>
  <si>
    <t>US-2015-141257</t>
  </si>
  <si>
    <t>FUR-CH-10002758</t>
  </si>
  <si>
    <t>Hon Deluxe Fabric Upholstered Stacking Chairs, Squared Back</t>
  </si>
  <si>
    <t>CA-2016-155306</t>
  </si>
  <si>
    <t>GA-14515</t>
  </si>
  <si>
    <t>George Ashbrook</t>
  </si>
  <si>
    <t>OFF-AR-10003251</t>
  </si>
  <si>
    <t>Prang Drawing Pencil Set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</si>
  <si>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</si>
  <si>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</si>
  <si>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</si>
  <si>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</si>
  <si>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</si>
  <si>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</si>
  <si>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</si>
  <si>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</si>
  <si>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CA-2016-138534</t>
  </si>
  <si>
    <t>Bakersfield</t>
  </si>
  <si>
    <t>FUR-BO-10003159</t>
  </si>
  <si>
    <t>Sauder Camden County Collection Libraries, Planked Cherry Finish</t>
  </si>
  <si>
    <t>CA-2017-116974</t>
  </si>
  <si>
    <t>CA-2015-154599</t>
  </si>
  <si>
    <t>Redondo Beach</t>
  </si>
  <si>
    <t>CA-2017-153318</t>
  </si>
  <si>
    <t>CA-2016-159380</t>
  </si>
  <si>
    <t>CS-12505</t>
  </si>
  <si>
    <t>Cindy Stewart</t>
  </si>
  <si>
    <t>OFF-PA-10003893</t>
  </si>
  <si>
    <t>Xerox 1962</t>
  </si>
  <si>
    <t>US-2015-112914</t>
  </si>
  <si>
    <t>OFF-PA-10003270</t>
  </si>
  <si>
    <t>Xerox 1954</t>
  </si>
  <si>
    <t>CA-2018-134649</t>
  </si>
  <si>
    <t>CA-11965</t>
  </si>
  <si>
    <t>Carol Adams</t>
  </si>
  <si>
    <t>Hoover</t>
  </si>
  <si>
    <t>CA-2018-112865</t>
  </si>
  <si>
    <t>US-2017-162852</t>
  </si>
  <si>
    <t>BG-11695</t>
  </si>
  <si>
    <t>Brooke Gillingham</t>
  </si>
  <si>
    <t>Woodstock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</si>
  <si>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</si>
  <si>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</si>
  <si>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</si>
  <si>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</si>
  <si>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</si>
  <si>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US-2017-128293</t>
  </si>
  <si>
    <t>CA-2018-169810</t>
  </si>
  <si>
    <t>Sioux Falls</t>
  </si>
  <si>
    <t>South Dakota</t>
  </si>
  <si>
    <t>OFF-LA-10003663</t>
  </si>
  <si>
    <t>Avery 498</t>
  </si>
  <si>
    <t>CA-2018-106537</t>
  </si>
  <si>
    <t>Orlando</t>
  </si>
  <si>
    <t>OFF-PA-10000223</t>
  </si>
  <si>
    <t>Xerox 2000</t>
  </si>
  <si>
    <t>US-2018-103828</t>
  </si>
  <si>
    <t>US-2017-167339</t>
  </si>
  <si>
    <t>CA-2017-152072</t>
  </si>
  <si>
    <t>Dp-13240</t>
  </si>
  <si>
    <t>Dean percer</t>
  </si>
  <si>
    <t>OFF-EN-10003040</t>
  </si>
  <si>
    <t>Quality Park Security Envelopes</t>
  </si>
  <si>
    <t>CA-2015-165540</t>
  </si>
  <si>
    <t>TM-21010</t>
  </si>
  <si>
    <t>Tamara Manning</t>
  </si>
  <si>
    <t>CA-2017-164483</t>
  </si>
  <si>
    <t>US-2017-159856</t>
  </si>
  <si>
    <t>CA-2018-164049</t>
  </si>
  <si>
    <t>OFF-PA-10000791</t>
  </si>
  <si>
    <t>Wirebound Message Books, Four 2 3/4 x 5 Forms per Page, 200 Sets per Book</t>
  </si>
  <si>
    <t>CA-2015-169033</t>
  </si>
  <si>
    <t>OFF-AR-10001915</t>
  </si>
  <si>
    <t>Peel-Off China Markers</t>
  </si>
  <si>
    <t>US-2017-164630</t>
  </si>
  <si>
    <t>EB-13975</t>
  </si>
  <si>
    <t>Erica Bern</t>
  </si>
  <si>
    <t>TEC-CO-10000971</t>
  </si>
  <si>
    <t>Hewlett Packard 310 Color Digital Copier</t>
  </si>
  <si>
    <t>CA-2016-166464</t>
  </si>
  <si>
    <t>CA-2017-153577</t>
  </si>
  <si>
    <t>KH-16330</t>
  </si>
  <si>
    <t>Katharine Harms</t>
  </si>
  <si>
    <t>Highland Park</t>
  </si>
  <si>
    <t>OFF-PA-10000575</t>
  </si>
  <si>
    <t>Wirebound Message Books, Four 2 3/4 x 5 White Forms per Page</t>
  </si>
  <si>
    <t>CA-2017-160129</t>
  </si>
  <si>
    <t>LS-17200</t>
  </si>
  <si>
    <t>Luke Schmidt</t>
  </si>
  <si>
    <t>OFF-FA-10002763</t>
  </si>
  <si>
    <t>Advantus Map Pennant Flags and Round Head Tacks</t>
  </si>
  <si>
    <t>CA-2015-157721</t>
  </si>
  <si>
    <t>JM-16195</t>
  </si>
  <si>
    <t>Justin MacKendrick</t>
  </si>
  <si>
    <t>OFF-AP-10001303</t>
  </si>
  <si>
    <t>Holmes Cool Mist Humidifier for the Whole House with 8-Gallon Output per Day, Extended Life Filter</t>
  </si>
  <si>
    <t>CA-2018-128629</t>
  </si>
  <si>
    <t>BP-11155</t>
  </si>
  <si>
    <t>Becky Pak</t>
  </si>
  <si>
    <t>FUR-FU-10000771</t>
  </si>
  <si>
    <t>Eldon 200 Class Desk Accessories, Smoke</t>
  </si>
  <si>
    <t>CA-2016-168564</t>
  </si>
  <si>
    <t>CA-2018-169859</t>
  </si>
  <si>
    <t>FUR-FU-10004963</t>
  </si>
  <si>
    <t>Eldon 400 Class Desk Accessories, Black Carbon</t>
  </si>
  <si>
    <t>CA-2018-123638</t>
  </si>
  <si>
    <t>MA-17995</t>
  </si>
  <si>
    <t>Michelle Arnett</t>
  </si>
  <si>
    <t>FUR-CH-10002647</t>
  </si>
  <si>
    <t>Situations Contoured Folding Chairs, 4/Set</t>
  </si>
  <si>
    <t>CA-2018-137428</t>
  </si>
  <si>
    <t>AY-10555</t>
  </si>
  <si>
    <t>Andy Yotov</t>
  </si>
  <si>
    <t>CA-2016-137512</t>
  </si>
  <si>
    <t>Allen</t>
  </si>
  <si>
    <t>CA-2016-139850</t>
  </si>
  <si>
    <t>GB-14575</t>
  </si>
  <si>
    <t>Giulietta Baptist</t>
  </si>
  <si>
    <t>OFF-PA-10003848</t>
  </si>
  <si>
    <t>Xerox 1997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</si>
  <si>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</si>
  <si>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</si>
  <si>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</si>
  <si>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</si>
  <si>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</si>
  <si>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</si>
  <si>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MC-17635</t>
  </si>
  <si>
    <t>Matthew Clasen</t>
  </si>
  <si>
    <t>TEC-AC-10004227</t>
  </si>
  <si>
    <t>SanDisk Ultra 16 GB MicroSDHC Class 10 Memory Card</t>
  </si>
  <si>
    <t>CA-2017-134376</t>
  </si>
  <si>
    <t>CA-2018-147291</t>
  </si>
  <si>
    <t>CA-2015-148761</t>
  </si>
  <si>
    <t>Eau Claire</t>
  </si>
  <si>
    <t>OFF-BI-10000666</t>
  </si>
  <si>
    <t>Surelock Post Binders</t>
  </si>
  <si>
    <t>CA-2018-134845</t>
  </si>
  <si>
    <t>SR-20425</t>
  </si>
  <si>
    <t>Sharelle Roach</t>
  </si>
  <si>
    <t>US-2017-160528</t>
  </si>
  <si>
    <t>Pharr</t>
  </si>
  <si>
    <t>CA-2015-106719</t>
  </si>
  <si>
    <t>Billings</t>
  </si>
  <si>
    <t>OFF-BI-10002799</t>
  </si>
  <si>
    <t>SlimView Poly Binder, 3/8"</t>
  </si>
  <si>
    <t>US-2017-164189</t>
  </si>
  <si>
    <t>Gresham</t>
  </si>
  <si>
    <t>TEC-PH-10003691</t>
  </si>
  <si>
    <t>BlackBerry Q10</t>
  </si>
  <si>
    <t>US-2017-114293</t>
  </si>
  <si>
    <t>FUR-CH-10003833</t>
  </si>
  <si>
    <t>Novimex Fabric Task Chair</t>
  </si>
  <si>
    <t>US-2016-123960</t>
  </si>
  <si>
    <t>TEC-AC-10003038</t>
  </si>
  <si>
    <t>Kingston Digital DataTraveler 16GB USB 2.0</t>
  </si>
  <si>
    <t>US-2018-148054</t>
  </si>
  <si>
    <t>Meridian</t>
  </si>
  <si>
    <t>Idaho</t>
  </si>
  <si>
    <t>FUR-FU-10003247</t>
  </si>
  <si>
    <t>36X48 HARDFLOOR CHAIRMAT</t>
  </si>
  <si>
    <t>US-2016-100377</t>
  </si>
  <si>
    <t>TS-21370</t>
  </si>
  <si>
    <t>Todd Sumrall</t>
  </si>
  <si>
    <t>CA-2017-125206</t>
  </si>
  <si>
    <t>OFF-ST-10003692</t>
  </si>
  <si>
    <t>Recycled Steel Personal File for Hanging File Folders</t>
  </si>
  <si>
    <t>CA-2015-143903</t>
  </si>
  <si>
    <t>OFF-ST-10003306</t>
  </si>
  <si>
    <t>Letter Size Cart</t>
  </si>
  <si>
    <t>US-2018-132297</t>
  </si>
  <si>
    <t>CA-2015-100328</t>
  </si>
  <si>
    <t>CA-2018-118773</t>
  </si>
  <si>
    <t>CA-2017-112123</t>
  </si>
  <si>
    <t>OFF-BI-10001071</t>
  </si>
  <si>
    <t>GBC ProClick Punch Binding System</t>
  </si>
  <si>
    <t>CA-2016-114468</t>
  </si>
  <si>
    <t>Bolingbrook</t>
  </si>
  <si>
    <t>OFF-SU-10004231</t>
  </si>
  <si>
    <t>Acme Tagit Stainless Steel Antibacterial Scissors</t>
  </si>
  <si>
    <t>CA-2018-135692</t>
  </si>
  <si>
    <t>CA-2017-120558</t>
  </si>
  <si>
    <t>US-2017-133879</t>
  </si>
  <si>
    <t>OFF-BI-10004465</t>
  </si>
  <si>
    <t>Avery Durable Slant Ring Binders</t>
  </si>
  <si>
    <t>CA-2015-123498</t>
  </si>
  <si>
    <t>TC-20980</t>
  </si>
  <si>
    <t>Tamara Chand</t>
  </si>
  <si>
    <t>OFF-BI-10000632</t>
  </si>
  <si>
    <t>Satellite Sectional Post Binders</t>
  </si>
  <si>
    <t>CA-2018-159352</t>
  </si>
  <si>
    <t>TEC-PH-10004700</t>
  </si>
  <si>
    <t>PowerGen Dual USB Car Charger</t>
  </si>
  <si>
    <t>CA-2018-109750</t>
  </si>
  <si>
    <t>TEC-PH-10000702</t>
  </si>
  <si>
    <t>Square Credit Card Reader, 4 1/2" x 4 1/2" x 1", White</t>
  </si>
  <si>
    <t>CA-2016-149384</t>
  </si>
  <si>
    <t>OFF-BI-10003196</t>
  </si>
  <si>
    <t>Accohide Poly Flexible Ring Binders</t>
  </si>
  <si>
    <t>CA-2015-158372</t>
  </si>
  <si>
    <t>TEC-PH-10002103</t>
  </si>
  <si>
    <t>Jabra SPEAK 410</t>
  </si>
  <si>
    <t>CA-2017-108882</t>
  </si>
  <si>
    <t>TEC-AC-10000420</t>
  </si>
  <si>
    <t>Logitech G500s Laser Gaming Mouse with Adjustable Weight Tuning</t>
  </si>
  <si>
    <t>CA-2015-142314</t>
  </si>
  <si>
    <t>CA-2015-108189</t>
  </si>
  <si>
    <t>OFF-PA-10001838</t>
  </si>
  <si>
    <t>Adams Telephone Message Book W/Dividers/Space For Phone Numbers, 5 1/4"X8 1/2", 300/Messages</t>
  </si>
  <si>
    <t>CA-2018-131625</t>
  </si>
  <si>
    <t>FUR-FU-10004960</t>
  </si>
  <si>
    <t>Seth Thomas 12" Clock w/ Goldtone Case</t>
  </si>
  <si>
    <t>US-2017-140809</t>
  </si>
  <si>
    <t>OFF-ST-10002214</t>
  </si>
  <si>
    <t>X-Rack File for Hanging Folders</t>
  </si>
  <si>
    <t>CA-2018-110373</t>
  </si>
  <si>
    <t>US-2015-126571</t>
  </si>
  <si>
    <t>OFF-ST-10003816</t>
  </si>
  <si>
    <t>Fellowes High-Stak Drawer Files</t>
  </si>
  <si>
    <t>CA-2015-143840</t>
  </si>
  <si>
    <t>EH-14185</t>
  </si>
  <si>
    <t>Evan Henry</t>
  </si>
  <si>
    <t>TEC-PH-10002660</t>
  </si>
  <si>
    <t>Nortel Networks T7316 E Nt8 B27</t>
  </si>
  <si>
    <t>CA-2015-115980</t>
  </si>
  <si>
    <t>TEC-AC-10003709</t>
  </si>
  <si>
    <t>Maxell 4.7GB DVD-R 5/Pack</t>
  </si>
  <si>
    <t>CA-2017-167290</t>
  </si>
  <si>
    <t>JF-15295</t>
  </si>
  <si>
    <t>Jason Fortune-</t>
  </si>
  <si>
    <t>Sterling Heights</t>
  </si>
  <si>
    <t>CA-2015-138023</t>
  </si>
  <si>
    <t>CA-2016-165057</t>
  </si>
  <si>
    <t>CA-2016-120810</t>
  </si>
  <si>
    <t>OFF-AP-10002892</t>
  </si>
  <si>
    <t>Belkin F5C206VTEL 6 Outlet Surge</t>
  </si>
  <si>
    <t>CA-2016-112014</t>
  </si>
  <si>
    <t>Yucaipa</t>
  </si>
  <si>
    <t>OFF-AR-10003156</t>
  </si>
  <si>
    <t>50 Colored Long Pencils</t>
  </si>
  <si>
    <t>US-2017-157308</t>
  </si>
  <si>
    <t>NM-18520</t>
  </si>
  <si>
    <t>Neoma Murray</t>
  </si>
  <si>
    <t>US-2015-134733</t>
  </si>
  <si>
    <t>FUR-BO-10002916</t>
  </si>
  <si>
    <t>Rush Hierlooms Collection 1" Thick Stackable Bookcases</t>
  </si>
  <si>
    <t>US-2015-150434</t>
  </si>
  <si>
    <t>CA-12310</t>
  </si>
  <si>
    <t>Christine Abelman</t>
  </si>
  <si>
    <t>TEC-PH-10000895</t>
  </si>
  <si>
    <t>Polycom VVX 310 VoIP phone</t>
  </si>
  <si>
    <t>CA-2015-115161</t>
  </si>
  <si>
    <t>LC-17050</t>
  </si>
  <si>
    <t>Liz Carlisle</t>
  </si>
  <si>
    <t>FUR-BO-10003966</t>
  </si>
  <si>
    <t>Sauder Facets Collection Library, Sky Alder Finish</t>
  </si>
  <si>
    <t>CA-2015-165379</t>
  </si>
  <si>
    <t>OFF-PA-10003072</t>
  </si>
  <si>
    <t>Eureka Recycled Copy Paper 8 1/2" x 11", Ream</t>
  </si>
  <si>
    <t>CA-2017-134887</t>
  </si>
  <si>
    <t>TB-21280</t>
  </si>
  <si>
    <t>Toby Braunhardt</t>
  </si>
  <si>
    <t>Logitech P710e Mobile Speakerphone</t>
  </si>
  <si>
    <t>US-2018-148362</t>
  </si>
  <si>
    <t>Indianapolis</t>
  </si>
  <si>
    <t>OFF-ST-10001128</t>
  </si>
  <si>
    <t>Carina Mini System Audio Rack, Model AR050B</t>
  </si>
  <si>
    <t>CA-2015-102274</t>
  </si>
  <si>
    <t>DH-13075</t>
  </si>
  <si>
    <t>Dave Hallsten</t>
  </si>
  <si>
    <t>CA-2016-152527</t>
  </si>
  <si>
    <t>CA-2017-100244</t>
  </si>
  <si>
    <t>GM-14695</t>
  </si>
  <si>
    <t>Greg Maxwell</t>
  </si>
  <si>
    <t>OFF-PA-10001471</t>
  </si>
  <si>
    <t>Strathmore Photo Frame Cards</t>
  </si>
  <si>
    <t>US-2016-100531</t>
  </si>
  <si>
    <t>CA-2017-116344</t>
  </si>
  <si>
    <t>JO-15145</t>
  </si>
  <si>
    <t>Jack O'Briant</t>
  </si>
  <si>
    <t>CA-2017-158869</t>
  </si>
  <si>
    <t>AH-10690</t>
  </si>
  <si>
    <t>Anna Häberlin</t>
  </si>
  <si>
    <t>CA-2017-162614</t>
  </si>
  <si>
    <t>TB-21250</t>
  </si>
  <si>
    <t>Tim Brockman</t>
  </si>
  <si>
    <t>OFF-BI-10004001</t>
  </si>
  <si>
    <t>GBC Recycled VeloBinder Covers</t>
  </si>
  <si>
    <t>CA-2015-157609</t>
  </si>
  <si>
    <t>TEC-PH-10002415</t>
  </si>
  <si>
    <t>Polycom VoiceStation 500 Conference phone</t>
  </si>
  <si>
    <t>CA-2016-153325</t>
  </si>
  <si>
    <t>ST-20530</t>
  </si>
  <si>
    <t>Shui Tom</t>
  </si>
  <si>
    <t>Macon</t>
  </si>
  <si>
    <t>OFF-BI-10004236</t>
  </si>
  <si>
    <t>XtraLife ClearVue Slant-D Ring Binder, White, 3"</t>
  </si>
  <si>
    <t>CA-2017-166485</t>
  </si>
  <si>
    <t>Nashville</t>
  </si>
  <si>
    <t>OFF-PA-10004996</t>
  </si>
  <si>
    <t>Speediset Carbonless Redi-Letter 7" x 8 1/2"</t>
  </si>
  <si>
    <t>CA-2017-165470</t>
  </si>
  <si>
    <t>HJ-14875</t>
  </si>
  <si>
    <t>Heather Jas</t>
  </si>
  <si>
    <t>CA-2017-146143</t>
  </si>
  <si>
    <t>FUR-FU-10002045</t>
  </si>
  <si>
    <t>Executive Impressions 14"</t>
  </si>
  <si>
    <t>CA-2015-143385</t>
  </si>
  <si>
    <t>Santa Fe</t>
  </si>
  <si>
    <t>TEC-AC-10001635</t>
  </si>
  <si>
    <t>KeyTronic KT400U2 - Keyboard - Black</t>
  </si>
  <si>
    <t>CA-2015-124023</t>
  </si>
  <si>
    <t>US-2017-134761</t>
  </si>
  <si>
    <t>Hickory</t>
  </si>
  <si>
    <t>TEC-PH-10002890</t>
  </si>
  <si>
    <t>AT&amp;T 17929 Lendline Telephone</t>
  </si>
  <si>
    <t>CA-2015-166863</t>
  </si>
  <si>
    <t>SC-20020</t>
  </si>
  <si>
    <t>Sam Craven</t>
  </si>
  <si>
    <t>Plano</t>
  </si>
  <si>
    <t>TEC-PH-10000369</t>
  </si>
  <si>
    <t>HTC One Mini</t>
  </si>
  <si>
    <t>CA-2017-168536</t>
  </si>
  <si>
    <t>SC-20800</t>
  </si>
  <si>
    <t>Stuart Calhoun</t>
  </si>
  <si>
    <t>US-2017-113649</t>
  </si>
  <si>
    <t>OFF-PA-10000130</t>
  </si>
  <si>
    <t>Xerox 199</t>
  </si>
  <si>
    <t>CA-2016-168767</t>
  </si>
  <si>
    <t>DM-12955</t>
  </si>
  <si>
    <t>Dario Medina</t>
  </si>
  <si>
    <t>Sacramento</t>
  </si>
  <si>
    <t>CA-2017-130680</t>
  </si>
  <si>
    <t>TEC-PH-10004833</t>
  </si>
  <si>
    <t>Macally Suction Cup Mount</t>
  </si>
  <si>
    <t>CA-2015-110849</t>
  </si>
  <si>
    <t>TEC-MA-10002859</t>
  </si>
  <si>
    <t>Ativa MDM8000 8-Sheet Micro-Cut Shredder</t>
  </si>
  <si>
    <t>CA-2017-152555</t>
  </si>
  <si>
    <t>OFF-PA-10001295</t>
  </si>
  <si>
    <t>Computer Printout Paper with Letter-Trim Perforations</t>
  </si>
  <si>
    <t>CA-2015-120838</t>
  </si>
  <si>
    <t>CA-2017-130029</t>
  </si>
  <si>
    <t>OFF-PA-10000552</t>
  </si>
  <si>
    <t>Xerox 200</t>
  </si>
  <si>
    <t>CA-2016-121650</t>
  </si>
  <si>
    <t>KD-16495</t>
  </si>
  <si>
    <t>Keith Dawkins</t>
  </si>
  <si>
    <t>OFF-AR-10001149</t>
  </si>
  <si>
    <t>Avery Hi-Liter Comfort Grip Fluorescent Highlighter, Yellow Ink</t>
  </si>
  <si>
    <t>US-2017-131674</t>
  </si>
  <si>
    <t>NC-18535</t>
  </si>
  <si>
    <t>Nick Crebassa</t>
  </si>
  <si>
    <t>TEC-AC-10004864</t>
  </si>
  <si>
    <t>Memorex Micro Travel Drive 32 GB</t>
  </si>
  <si>
    <t>CA-2017-109743</t>
  </si>
  <si>
    <t>CA-2018-132178</t>
  </si>
  <si>
    <t>DB-12970</t>
  </si>
  <si>
    <t>Darren Budd</t>
  </si>
  <si>
    <t>CA-2016-128083</t>
  </si>
  <si>
    <t>Plantation</t>
  </si>
  <si>
    <t>CA-2017-155005</t>
  </si>
  <si>
    <t>SC-20050</t>
  </si>
  <si>
    <t>Sample Company A</t>
  </si>
  <si>
    <t>TEC-PH-10003484</t>
  </si>
  <si>
    <t>Ooma Telo VoIP Home Phone System</t>
  </si>
  <si>
    <t>CA-2016-156440</t>
  </si>
  <si>
    <t>CA-2016-151680</t>
  </si>
  <si>
    <t>TC-21475</t>
  </si>
  <si>
    <t>Tony Chapman</t>
  </si>
  <si>
    <t>FUR-FU-10000305</t>
  </si>
  <si>
    <t>Tenex V2T-RE Standard Weight Series Chair Mat, 45" x 53", Lip 25" x 12"</t>
  </si>
  <si>
    <t>CA-2018-144036</t>
  </si>
  <si>
    <t>FO-14305</t>
  </si>
  <si>
    <t>Frank Olsen</t>
  </si>
  <si>
    <t>CA-2018-168193</t>
  </si>
  <si>
    <t>RM-19750</t>
  </si>
  <si>
    <t>Roland Murray</t>
  </si>
  <si>
    <t>OFF-PA-10002254</t>
  </si>
  <si>
    <t>Xerox 1883</t>
  </si>
  <si>
    <t>CA-2017-111283</t>
  </si>
  <si>
    <t>OFF-AR-10001615</t>
  </si>
  <si>
    <t>Newell 34</t>
  </si>
  <si>
    <t>CA-2018-125878</t>
  </si>
  <si>
    <t>MH-18025</t>
  </si>
  <si>
    <t>Michelle Huthwaite</t>
  </si>
  <si>
    <t>OFF-BI-10002609</t>
  </si>
  <si>
    <t>Avery Hidden Tab Dividers for Binding Systems</t>
  </si>
  <si>
    <t>CA-2017-155530</t>
  </si>
  <si>
    <t>FUR-TA-10004256</t>
  </si>
  <si>
    <t>Bretford “Just In Time” Height-Adjustable Multi-Task Work Tables</t>
  </si>
  <si>
    <t>CA-2015-115357</t>
  </si>
  <si>
    <t>TEC-AC-10000023</t>
  </si>
  <si>
    <t>Maxell 74 Minute CD-R Spindle, 50/Pack</t>
  </si>
  <si>
    <t>US-2015-102715</t>
  </si>
  <si>
    <t>OFF-FA-10001332</t>
  </si>
  <si>
    <t>Acco Banker's Clasps, 5 3/4"-Long</t>
  </si>
  <si>
    <t>CA-2016-107937</t>
  </si>
  <si>
    <t>Chula Vista</t>
  </si>
  <si>
    <t>CA-2018-118521</t>
  </si>
  <si>
    <t>OFF-PA-10003465</t>
  </si>
  <si>
    <t>Xerox 1912</t>
  </si>
  <si>
    <t>CA-2015-149643</t>
  </si>
  <si>
    <t>Manhattan</t>
  </si>
  <si>
    <t>Kansas</t>
  </si>
  <si>
    <t>TEC-PH-10000038</t>
  </si>
  <si>
    <t>Jawbone MINI JAMBOX Wireless Bluetooth Speaker</t>
  </si>
  <si>
    <t>CA-2017-169971</t>
  </si>
  <si>
    <t>OFF-AR-10002804</t>
  </si>
  <si>
    <t>Faber Castell Col-Erase Pencils</t>
  </si>
  <si>
    <t>CA-2016-111325</t>
  </si>
  <si>
    <t>BT-11395</t>
  </si>
  <si>
    <t>Bill Tyler</t>
  </si>
  <si>
    <t>Altoona</t>
  </si>
  <si>
    <t>US-2015-117163</t>
  </si>
  <si>
    <t>EJ-13720</t>
  </si>
  <si>
    <t>Ed Jacobs</t>
  </si>
  <si>
    <t>CA-2018-147753</t>
  </si>
  <si>
    <t>OFF-LA-10003537</t>
  </si>
  <si>
    <t>Avery 515</t>
  </si>
  <si>
    <t>CA-2018-141733</t>
  </si>
  <si>
    <t>RW-19540</t>
  </si>
  <si>
    <t>Rick Wilson</t>
  </si>
  <si>
    <t>CA-2015-100363</t>
  </si>
  <si>
    <t>Glendale</t>
  </si>
  <si>
    <t>OFF-FA-10000611</t>
  </si>
  <si>
    <t>Binder Clips by OIC</t>
  </si>
  <si>
    <t>CA-2015-101931</t>
  </si>
  <si>
    <t>OFF-BI-10004140</t>
  </si>
  <si>
    <t>Avery Non-Stick Binders</t>
  </si>
  <si>
    <t>CA-2018-129000</t>
  </si>
  <si>
    <t>SZ-20035</t>
  </si>
  <si>
    <t>Sam Zeldin</t>
  </si>
  <si>
    <t>Canton</t>
  </si>
  <si>
    <t>OFF-ST-10001097</t>
  </si>
  <si>
    <t>Office Impressions Heavy Duty Welded Shelving &amp; Multimedia Storage Drawers</t>
  </si>
  <si>
    <t>US-2018-131849</t>
  </si>
  <si>
    <t>GH-14410</t>
  </si>
  <si>
    <t>Gary Hansen</t>
  </si>
  <si>
    <t>FUR-FU-10004164</t>
  </si>
  <si>
    <t>Eldon 300 Class Desk Accessories, Black</t>
  </si>
  <si>
    <t>CA-2018-154039</t>
  </si>
  <si>
    <t>FUR-TA-10001932</t>
  </si>
  <si>
    <t>Chromcraft 48" x 96" Racetrack Double Pedestal Table</t>
  </si>
  <si>
    <t>CA-2015-124709</t>
  </si>
  <si>
    <t>GW-14605</t>
  </si>
  <si>
    <t>Giulietta Weimer</t>
  </si>
  <si>
    <t>TEC-AC-10002842</t>
  </si>
  <si>
    <t>WD My Passport Ultra 2TB Portable External Hard Drive</t>
  </si>
  <si>
    <t>CA-2016-132486</t>
  </si>
  <si>
    <t>JF-15355</t>
  </si>
  <si>
    <t>Jay Fein</t>
  </si>
  <si>
    <t>CA-2016-129896</t>
  </si>
  <si>
    <t>PF-19120</t>
  </si>
  <si>
    <t>Peter Fuller</t>
  </si>
  <si>
    <t>OFF-PA-10002245</t>
  </si>
  <si>
    <t>Xerox 1895</t>
  </si>
  <si>
    <t>US-2018-127341</t>
  </si>
  <si>
    <t>OFF-BI-10001072</t>
  </si>
  <si>
    <t>GBC Clear Cover, 8-1/2 x 11, unpunched, 25 covers per pack</t>
  </si>
  <si>
    <t>CA-2018-110212</t>
  </si>
  <si>
    <t>Texarkana</t>
  </si>
  <si>
    <t>TEC-AC-10002331</t>
  </si>
  <si>
    <t>Maxell 74 Minute CDR, 10/Pack</t>
  </si>
  <si>
    <t>CA-2016-121097</t>
  </si>
  <si>
    <t>Baytown</t>
  </si>
  <si>
    <t>CA-2018-126788</t>
  </si>
  <si>
    <t>Pearland</t>
  </si>
  <si>
    <t>TEC-PH-10001619</t>
  </si>
  <si>
    <t>LG G3</t>
  </si>
  <si>
    <t>US-2018-142573</t>
  </si>
  <si>
    <t>CA-2017-110044</t>
  </si>
  <si>
    <t>TEC-PH-10001299</t>
  </si>
  <si>
    <t>Polycom CX300 Desktop Phone USB VoIP phone</t>
  </si>
  <si>
    <t>US-2016-163685</t>
  </si>
  <si>
    <t>KE-16420</t>
  </si>
  <si>
    <t>Katrina Edelman</t>
  </si>
  <si>
    <t>CA-2016-132374</t>
  </si>
  <si>
    <t>CA-2018-119564</t>
  </si>
  <si>
    <t>FUR-FU-10003096</t>
  </si>
  <si>
    <t>Master Giant Foot Doorstop, Safety Yellow</t>
  </si>
  <si>
    <t>CA-2015-137589</t>
  </si>
  <si>
    <t>OFF-SU-10000157</t>
  </si>
  <si>
    <t>Compact Automatic Electric Letter Opener</t>
  </si>
  <si>
    <t>CA-2016-105627</t>
  </si>
  <si>
    <t>DK-12895</t>
  </si>
  <si>
    <t>Dana Kaydos</t>
  </si>
  <si>
    <t>CA-2016-153612</t>
  </si>
  <si>
    <t>Superior</t>
  </si>
  <si>
    <t>OFF-AR-10000203</t>
  </si>
  <si>
    <t>Newell 336</t>
  </si>
  <si>
    <t>CA-2018-139311</t>
  </si>
  <si>
    <t>Bedford</t>
  </si>
  <si>
    <t>OFF-PA-10001776</t>
  </si>
  <si>
    <t>Wirebound Message Books, Four 2 3/4" x 5" Forms per Page, 600 Sets per Book</t>
  </si>
  <si>
    <t>US-2017-108777</t>
  </si>
  <si>
    <t>CA-2018-108112</t>
  </si>
  <si>
    <t>Miramar</t>
  </si>
  <si>
    <t>FUR-FU-10003553</t>
  </si>
  <si>
    <t>Howard Miller 13-1/2" Diameter Rosebrook Wall Clock</t>
  </si>
  <si>
    <t>CA-2018-166576</t>
  </si>
  <si>
    <t>CA-2016-116687</t>
  </si>
  <si>
    <t>NC-18625</t>
  </si>
  <si>
    <t>Noah Childs</t>
  </si>
  <si>
    <t>CA-2018-133823</t>
  </si>
  <si>
    <t>CA-2018-123239</t>
  </si>
  <si>
    <t>MG-18145</t>
  </si>
  <si>
    <t>Mike Gockenbach</t>
  </si>
  <si>
    <t>CA-2017-117226</t>
  </si>
  <si>
    <t>Deer Park</t>
  </si>
  <si>
    <t>US-2015-107699</t>
  </si>
  <si>
    <t>Midland</t>
  </si>
  <si>
    <t>US-2017-164588</t>
  </si>
  <si>
    <t>CA-2016-163587</t>
  </si>
  <si>
    <t>OFF-LA-10004484</t>
  </si>
  <si>
    <t>Avery 476</t>
  </si>
  <si>
    <t>CA-2017-152163</t>
  </si>
  <si>
    <t>OFF-BI-10002215</t>
  </si>
  <si>
    <t>Wilson Jones Hanging View Binder, White, 1"</t>
  </si>
  <si>
    <t>CA-2017-148593</t>
  </si>
  <si>
    <t>CA-2016-129392</t>
  </si>
  <si>
    <t>DM-13015</t>
  </si>
  <si>
    <t>Darrin Martin</t>
  </si>
  <si>
    <t>OFF-PA-10004248</t>
  </si>
  <si>
    <t>Xerox 1990</t>
  </si>
  <si>
    <t>CA-2015-166457</t>
  </si>
  <si>
    <t>CA-2015-103590</t>
  </si>
  <si>
    <t>Mount Vernon</t>
  </si>
  <si>
    <t>OFF-EN-10004007</t>
  </si>
  <si>
    <t>Park Ridge Embossed Executive Business Envelopes</t>
  </si>
  <si>
    <t>CA-2016-111234</t>
  </si>
  <si>
    <t>OFF-LA-10002271</t>
  </si>
  <si>
    <t>Smead Alpha-Z Color-Coded Second Alphabetical Labels and Starter Set</t>
  </si>
  <si>
    <t>CA-2017-108644</t>
  </si>
  <si>
    <t>SJ-20215</t>
  </si>
  <si>
    <t>Sarah Jordon</t>
  </si>
  <si>
    <t>CA-2016-154970</t>
  </si>
  <si>
    <t>CA-2018-100223</t>
  </si>
  <si>
    <t>CA-2017-159142</t>
  </si>
  <si>
    <t>TEC-PH-10001448</t>
  </si>
  <si>
    <t>Anker Astro 15000mAh USB Portable Charger</t>
  </si>
  <si>
    <t>CA-2015-138436</t>
  </si>
  <si>
    <t>CA-2018-118367</t>
  </si>
  <si>
    <t>LO-17170</t>
  </si>
  <si>
    <t>Lori Olson</t>
  </si>
  <si>
    <t>OFF-EN-10004386</t>
  </si>
  <si>
    <t>Recycled Interoffice Envelopes with String and Button Closure, 10 x 13</t>
  </si>
  <si>
    <t>US-2016-117184</t>
  </si>
  <si>
    <t>OFF-BI-10002082</t>
  </si>
  <si>
    <t>GBC Twin Loop Wire Binding Elements</t>
  </si>
  <si>
    <t>CA-2018-129021</t>
  </si>
  <si>
    <t>TEC-PH-10001459</t>
  </si>
  <si>
    <t>Samsung Galaxy Mega 6.3</t>
  </si>
  <si>
    <t>CA-2015-123253</t>
  </si>
  <si>
    <t>Lakewood</t>
  </si>
  <si>
    <t>CA-2017-121601</t>
  </si>
  <si>
    <t>MO-17500</t>
  </si>
  <si>
    <t>Mary O'Rourke</t>
  </si>
  <si>
    <t>The Colony</t>
  </si>
  <si>
    <t>CA-2015-162278</t>
  </si>
  <si>
    <t>AH-10585</t>
  </si>
  <si>
    <t>Angele Hood</t>
  </si>
  <si>
    <t>US-2016-147662</t>
  </si>
  <si>
    <t>CA-2017-153346</t>
  </si>
  <si>
    <t>OFF-AR-10000315</t>
  </si>
  <si>
    <t>Dixon Ticonderoga Maple Cedar Pencil, #2</t>
  </si>
  <si>
    <t>CA-2018-111332</t>
  </si>
  <si>
    <t>NC-18340</t>
  </si>
  <si>
    <t>Nat Carroll</t>
  </si>
  <si>
    <t>Fargo</t>
  </si>
  <si>
    <t>North Dakota</t>
  </si>
  <si>
    <t>OFF-AR-10001953</t>
  </si>
  <si>
    <t>Boston 1645 Deluxe Heavier-Duty Electric Pencil Sharpener</t>
  </si>
  <si>
    <t>CA-2016-152891</t>
  </si>
  <si>
    <t>TB-21625</t>
  </si>
  <si>
    <t>Trudy Brown</t>
  </si>
  <si>
    <t>US-2015-138758</t>
  </si>
  <si>
    <t>CA-2018-132339</t>
  </si>
  <si>
    <t>CA-2016-163090</t>
  </si>
  <si>
    <t>GH-14665</t>
  </si>
  <si>
    <t>Greg Hansen</t>
  </si>
  <si>
    <t>OFF-SU-10002537</t>
  </si>
  <si>
    <t>Acme Box Cutter Scissors</t>
  </si>
  <si>
    <t>CA-2017-163398</t>
  </si>
  <si>
    <t>CA-2016-121965</t>
  </si>
  <si>
    <t>CA-2017-147137</t>
  </si>
  <si>
    <t>AA-10645</t>
  </si>
  <si>
    <t>Anna Andreadi</t>
  </si>
  <si>
    <t>FUR-FU-10000221</t>
  </si>
  <si>
    <t>Master Caster Door Stop, Brown</t>
  </si>
  <si>
    <t>CA-2016-163895</t>
  </si>
  <si>
    <t>Boise</t>
  </si>
  <si>
    <t>CA-2015-147235</t>
  </si>
  <si>
    <t>CD-11920</t>
  </si>
  <si>
    <t>Carlos Daly</t>
  </si>
  <si>
    <t>OFF-PA-10004948</t>
  </si>
  <si>
    <t>Xerox 190</t>
  </si>
  <si>
    <t>CA-2018-112753</t>
  </si>
  <si>
    <t>CA-2018-167003</t>
  </si>
  <si>
    <t>VS-21820</t>
  </si>
  <si>
    <t>Vivek Sundaresam</t>
  </si>
  <si>
    <t>CA-2015-109491</t>
  </si>
  <si>
    <t>TEC-AC-10001284</t>
  </si>
  <si>
    <t>Enermax Briskie RF Wireless Keyboard and Mouse Combo</t>
  </si>
  <si>
    <t>CA-2015-107454</t>
  </si>
  <si>
    <t>RD-19720</t>
  </si>
  <si>
    <t>Roger Demir</t>
  </si>
  <si>
    <t>CA-2015-140403</t>
  </si>
  <si>
    <t>CA-2018-113474</t>
  </si>
  <si>
    <t>TM-21490</t>
  </si>
  <si>
    <t>Tony Molinari</t>
  </si>
  <si>
    <t>OFF-EN-10004206</t>
  </si>
  <si>
    <t>Multimedia Mailers</t>
  </si>
  <si>
    <t>CA-2016-126557</t>
  </si>
  <si>
    <t>FUR-CH-10004477</t>
  </si>
  <si>
    <t>Global Push Button Manager's Chair, Indigo</t>
  </si>
  <si>
    <t>US-2015-165862</t>
  </si>
  <si>
    <t>FUR-TA-10002855</t>
  </si>
  <si>
    <t>Bevis Round Conference Table Top &amp; Single Column Base</t>
  </si>
  <si>
    <t>CA-2018-129490</t>
  </si>
  <si>
    <t>FUR-CH-10003298</t>
  </si>
  <si>
    <t>Office Star - Contemporary Task Swivel chair with Loop Arms, Charcoal</t>
  </si>
  <si>
    <t>CA-2015-169460</t>
  </si>
  <si>
    <t>Executive Impressions 13" Chairman Wall Clock</t>
  </si>
  <si>
    <t>CA-2016-110947</t>
  </si>
  <si>
    <t>Hampton</t>
  </si>
  <si>
    <t>US-2016-113327</t>
  </si>
  <si>
    <t>CA-2017-109407</t>
  </si>
  <si>
    <t>Gulfport</t>
  </si>
  <si>
    <t>OFF-BI-10000285</t>
  </si>
  <si>
    <t>XtraLife ClearVue Slant-D Ring Binders by Cardinal</t>
  </si>
  <si>
    <t>CA-2016-147501</t>
  </si>
  <si>
    <t>OFF-BI-10002003</t>
  </si>
  <si>
    <t>Ibico Presentation Index for Binding Systems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</si>
  <si>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</si>
  <si>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</si>
  <si>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</si>
  <si>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</si>
  <si>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</si>
  <si>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</si>
  <si>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</si>
  <si>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</si>
  <si>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</si>
  <si>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</si>
  <si>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CA-2017-116547</t>
  </si>
  <si>
    <t>FUR-FU-10000076</t>
  </si>
  <si>
    <t>24-Hour Round Wall Clock</t>
  </si>
  <si>
    <t>CA-2017-133550</t>
  </si>
  <si>
    <t>OFF-AP-10001005</t>
  </si>
  <si>
    <t>Honeywell Quietcare HEPA Air Cleaner</t>
  </si>
  <si>
    <t>CA-2018-139416</t>
  </si>
  <si>
    <t>US-2016-138121</t>
  </si>
  <si>
    <t>CA-2016-109736</t>
  </si>
  <si>
    <t>CA-2016-118227</t>
  </si>
  <si>
    <t>OFF-AR-10001044</t>
  </si>
  <si>
    <t>BOSTON Ranger #55 Pencil Sharpener, Black</t>
  </si>
  <si>
    <t>CA-2016-123155</t>
  </si>
  <si>
    <t>CA-2015-150301</t>
  </si>
  <si>
    <t>Buffalo</t>
  </si>
  <si>
    <t>CA-2018-136364</t>
  </si>
  <si>
    <t>MH-17455</t>
  </si>
  <si>
    <t>Mark Hamilton</t>
  </si>
  <si>
    <t>TEC-PH-10003885</t>
  </si>
  <si>
    <t>Cisco SPA508G</t>
  </si>
  <si>
    <t>CA-2016-140025</t>
  </si>
  <si>
    <t>OFF-AP-10002651</t>
  </si>
  <si>
    <t>Hoover Upright Vacuum With Dirt Cup</t>
  </si>
  <si>
    <t>CA-2016-137526</t>
  </si>
  <si>
    <t>US-2015-146353</t>
  </si>
  <si>
    <t>OFF-BI-10003476</t>
  </si>
  <si>
    <t>Avery Metallic Poly Binders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</si>
  <si>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</si>
  <si>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</si>
  <si>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</si>
  <si>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</si>
  <si>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</si>
  <si>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</si>
  <si>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</si>
  <si>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</si>
  <si>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</si>
  <si>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</si>
  <si>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</si>
  <si>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</si>
  <si>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</si>
  <si>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</si>
  <si>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OFF-BI-10004728</t>
  </si>
  <si>
    <t>Wilson Jones Turn Tabs Binder Tool for Ring Binders</t>
  </si>
  <si>
    <t>CA-2015-156587</t>
  </si>
  <si>
    <t>AB-10015</t>
  </si>
  <si>
    <t>Aaron Bergman</t>
  </si>
  <si>
    <t>CA-2015-125171</t>
  </si>
  <si>
    <t>AG-10390</t>
  </si>
  <si>
    <t>Allen Goldenen</t>
  </si>
  <si>
    <t>OFF-LA-10001175</t>
  </si>
  <si>
    <t>Avery 514</t>
  </si>
  <si>
    <t>CA-2017-129238</t>
  </si>
  <si>
    <t>TEC-PH-10004120</t>
  </si>
  <si>
    <t>AT&amp;T 1080 Phone</t>
  </si>
  <si>
    <t>CA-2017-136126</t>
  </si>
  <si>
    <t>Newport News</t>
  </si>
  <si>
    <t>OFF-SU-10000898</t>
  </si>
  <si>
    <t>Acme Hot Forged Carbon Steel Scissors with Nickel-Plated Handles, 3 7/8" Cut, 8"L</t>
  </si>
  <si>
    <t>CA-2015-156006</t>
  </si>
  <si>
    <t>TEC-AC-10002550</t>
  </si>
  <si>
    <t>Maxell 4.7GB DVD-RW 3/Pack</t>
  </si>
  <si>
    <t>CA-2016-162166</t>
  </si>
  <si>
    <t>Moreno Valley</t>
  </si>
  <si>
    <t>OFF-PA-10002606</t>
  </si>
  <si>
    <t>Xerox 1928</t>
  </si>
  <si>
    <t>CA-2017-120796</t>
  </si>
  <si>
    <t>OFF-BI-10004330</t>
  </si>
  <si>
    <t>GBC Velobind Prepunched Cover Sets, Regency Series</t>
  </si>
  <si>
    <t>CA-2018-151071</t>
  </si>
  <si>
    <t>OFF-BI-10002103</t>
  </si>
  <si>
    <t>Cardinal Slant-D Ring Binder, Heavy Gauge Vinyl</t>
  </si>
  <si>
    <t>CA-2015-134572</t>
  </si>
  <si>
    <t>CA-2018-132738</t>
  </si>
  <si>
    <t>Loveland</t>
  </si>
  <si>
    <t>OFF-PA-10001752</t>
  </si>
  <si>
    <t>Hammermill CopyPlus Copy Paper (20Lb. and 84 Bright)</t>
  </si>
  <si>
    <t>CA-2017-150658</t>
  </si>
  <si>
    <t>CA-2016-123330</t>
  </si>
  <si>
    <t>Deltona</t>
  </si>
  <si>
    <t>CA-2015-111192</t>
  </si>
  <si>
    <t>TS-21430</t>
  </si>
  <si>
    <t>Tom Stivers</t>
  </si>
  <si>
    <t>CA-2017-122903</t>
  </si>
  <si>
    <t>FUR-CH-10002024</t>
  </si>
  <si>
    <t>HON 5400 Series Task Chairs for Big and Tall</t>
  </si>
  <si>
    <t>CA-2016-115567</t>
  </si>
  <si>
    <t>TEC-AC-10001314</t>
  </si>
  <si>
    <t>Case Logic 2.4GHz Wireless Keyboard</t>
  </si>
  <si>
    <t>US-2018-141943</t>
  </si>
  <si>
    <t>OFF-EN-10003448</t>
  </si>
  <si>
    <t>Peel &amp; Seel Recycled Catalog Envelopes, Brown</t>
  </si>
  <si>
    <t>CA-2015-159709</t>
  </si>
  <si>
    <t>AI-10855</t>
  </si>
  <si>
    <t>Arianne Irving</t>
  </si>
  <si>
    <t>OFF-EN-10001434</t>
  </si>
  <si>
    <t>Strathmore #10 Envelopes, Ultimate White</t>
  </si>
  <si>
    <t>CA-2016-156755</t>
  </si>
  <si>
    <t>YS-21880</t>
  </si>
  <si>
    <t>Yana Sorensen</t>
  </si>
  <si>
    <t>OFF-ST-10002615</t>
  </si>
  <si>
    <t>Dual Level, Single-Width Filing Carts</t>
  </si>
  <si>
    <t>CA-2015-140487</t>
  </si>
  <si>
    <t>FUR-BO-10000711</t>
  </si>
  <si>
    <t>Hon Metal Bookcases, Gray</t>
  </si>
  <si>
    <t>CA-2017-119865</t>
  </si>
  <si>
    <t>CA-2018-131037</t>
  </si>
  <si>
    <t>CA-2017-156265</t>
  </si>
  <si>
    <t>BF-11020</t>
  </si>
  <si>
    <t>Barry Französisch</t>
  </si>
  <si>
    <t>FUR-TA-10001691</t>
  </si>
  <si>
    <t>Barricks Non-Folding Utility Table with Steel Legs, Laminate Tops</t>
  </si>
  <si>
    <t>US-2016-168914</t>
  </si>
  <si>
    <t>Frankfort</t>
  </si>
  <si>
    <t>US-2018-114034</t>
  </si>
  <si>
    <t>OFF-PA-10004735</t>
  </si>
  <si>
    <t>Xerox 1905</t>
  </si>
  <si>
    <t>CA-2018-147452</t>
  </si>
  <si>
    <t>CS-11845</t>
  </si>
  <si>
    <t>Cari Sayre</t>
  </si>
  <si>
    <t>CA-2018-125913</t>
  </si>
  <si>
    <t>CA-2015-159681</t>
  </si>
  <si>
    <t>CA-2017-123414</t>
  </si>
  <si>
    <t>SU-20665</t>
  </si>
  <si>
    <t>Stephanie Ulpright</t>
  </si>
  <si>
    <t>Greenville</t>
  </si>
  <si>
    <t>OFF-LA-10004559</t>
  </si>
  <si>
    <t>Avery 49</t>
  </si>
  <si>
    <t>CA-2015-130813</t>
  </si>
  <si>
    <t>LS-17230</t>
  </si>
  <si>
    <t>Lycoris Saunders</t>
  </si>
  <si>
    <t>OFF-PA-10002005</t>
  </si>
  <si>
    <t>Xerox 225</t>
  </si>
  <si>
    <t>CA-2016-149811</t>
  </si>
  <si>
    <t>Woodbury</t>
  </si>
  <si>
    <t>OFF-BI-10003676</t>
  </si>
  <si>
    <t>GBC Standard Recycled Report Covers, Clear Plastic Sheets</t>
  </si>
  <si>
    <t>CA-2015-123477</t>
  </si>
  <si>
    <t>DW-13195</t>
  </si>
  <si>
    <t>David Wiener</t>
  </si>
  <si>
    <t>OFF-AP-10000692</t>
  </si>
  <si>
    <t>Fellowes Mighty 8 Compact Surge Protector</t>
  </si>
  <si>
    <t>CA-2016-118738</t>
  </si>
  <si>
    <t>CA-2017-136021</t>
  </si>
  <si>
    <t>JM-15580</t>
  </si>
  <si>
    <t>Jill Matthias</t>
  </si>
  <si>
    <t>OFF-PA-10000551</t>
  </si>
  <si>
    <t>Array Memo Cubes</t>
  </si>
  <si>
    <t>CA-2018-164707</t>
  </si>
  <si>
    <t>TEC-PH-10001924</t>
  </si>
  <si>
    <t>iHome FM Clock Radio with Lightning Dock</t>
  </si>
  <si>
    <t>CA-2018-123043</t>
  </si>
  <si>
    <t>OFF-BI-10003910</t>
  </si>
  <si>
    <t>DXL Angle-View Binders with Locking Rings by Samsill</t>
  </si>
  <si>
    <t>US-2017-151827</t>
  </si>
  <si>
    <t>TEC-PH-10002789</t>
  </si>
  <si>
    <t>LG Exalt</t>
  </si>
  <si>
    <t>CA-2018-160962</t>
  </si>
  <si>
    <t>CA-2015-146591</t>
  </si>
  <si>
    <t>CA-2015-107706</t>
  </si>
  <si>
    <t>OFF-PA-10000466</t>
  </si>
  <si>
    <t>Memo Book, 100 Message Capacity, 5 3/8” x 11”</t>
  </si>
  <si>
    <t>CA-2018-105487</t>
  </si>
  <si>
    <t>TEC-PH-10001336</t>
  </si>
  <si>
    <t>Digium D40 VoIP phone</t>
  </si>
  <si>
    <t>CA-2016-168529</t>
  </si>
  <si>
    <t>US-2015-137680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</si>
  <si>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</si>
  <si>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</si>
  <si>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</si>
  <si>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</si>
  <si>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</si>
  <si>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CA-2016-103177</t>
  </si>
  <si>
    <t>EN-13780</t>
  </si>
  <si>
    <t>Edward Nazzal</t>
  </si>
  <si>
    <t>TEC-PH-10001795</t>
  </si>
  <si>
    <t>RCA H5401RE1 DECT 6.0 4-Line Cordless Handset With Caller ID/Call Waiting</t>
  </si>
  <si>
    <t>CA-2016-137106</t>
  </si>
  <si>
    <t>SC-20260</t>
  </si>
  <si>
    <t>Scott Cohen</t>
  </si>
  <si>
    <t>US-2018-150595</t>
  </si>
  <si>
    <t>CA-2017-134936</t>
  </si>
  <si>
    <t>FUR-TA-10001086</t>
  </si>
  <si>
    <t>SAFCO PlanMaster Boards, 60w x 37-1/2d, White Melamine</t>
  </si>
  <si>
    <t>CA-2018-163818</t>
  </si>
  <si>
    <t>CA-2017-147431</t>
  </si>
  <si>
    <t>OFF-ST-10003994</t>
  </si>
  <si>
    <t>Belkin 19" Center-Weighted Shelf, Gray</t>
  </si>
  <si>
    <t>CA-2017-121748</t>
  </si>
  <si>
    <t>CA-2015-127614</t>
  </si>
  <si>
    <t>CA-2015-154893</t>
  </si>
  <si>
    <t>FUR-CH-10004287</t>
  </si>
  <si>
    <t>SAFCO Arco Folding Chair</t>
  </si>
  <si>
    <t>CA-2016-166604</t>
  </si>
  <si>
    <t>OFF-EN-10004147</t>
  </si>
  <si>
    <t>Wausau Papers Astrobrights Colored Envelopes</t>
  </si>
  <si>
    <t>CA-2015-135993</t>
  </si>
  <si>
    <t>CA-2017-143924</t>
  </si>
  <si>
    <t>Holland</t>
  </si>
  <si>
    <t>OFF-FA-10000735</t>
  </si>
  <si>
    <t>CA-2015-164315</t>
  </si>
  <si>
    <t>Athens</t>
  </si>
  <si>
    <t>CA-2015-131541</t>
  </si>
  <si>
    <t>CA-2018-126550</t>
  </si>
  <si>
    <t>OFF-ST-10001031</t>
  </si>
  <si>
    <t>Adjustable Personal File Tote</t>
  </si>
  <si>
    <t>CA-2017-118514</t>
  </si>
  <si>
    <t>CA-2016-119634</t>
  </si>
  <si>
    <t>BW-11065</t>
  </si>
  <si>
    <t>Barry Weirich</t>
  </si>
  <si>
    <t>US-2015-126340</t>
  </si>
  <si>
    <t>Redding</t>
  </si>
  <si>
    <t>TEC-PH-10004447</t>
  </si>
  <si>
    <t>Toshiba IPT2010-SD IP Telephone</t>
  </si>
  <si>
    <t>CA-2016-154900</t>
  </si>
  <si>
    <t>CA-2017-117408</t>
  </si>
  <si>
    <t>Waco</t>
  </si>
  <si>
    <t>CA-2015-166716</t>
  </si>
  <si>
    <t>FUR-CH-10004495</t>
  </si>
  <si>
    <t>Global Leather and Oak Executive Chair, Black</t>
  </si>
  <si>
    <t>CA-2017-125017</t>
  </si>
  <si>
    <t>Chattanooga</t>
  </si>
  <si>
    <t>FUR-FU-10000723</t>
  </si>
  <si>
    <t>Deflect-o EconoMat Studded, No Bevel Mat for Low Pile Carpeting</t>
  </si>
  <si>
    <t>CA-2015-115056</t>
  </si>
  <si>
    <t>OFF-AP-10003971</t>
  </si>
  <si>
    <t>Belkin 6 Outlet Metallic Surge Strip</t>
  </si>
  <si>
    <t>CA-2016-111206</t>
  </si>
  <si>
    <t>TEC-AC-10003095</t>
  </si>
  <si>
    <t>Logitech G35 7.1-Channel Surround Sound Headset</t>
  </si>
  <si>
    <t>CA-2016-132948</t>
  </si>
  <si>
    <t>OFF-ST-10000636</t>
  </si>
  <si>
    <t>Rogers Profile Extra Capacity Storage Tub</t>
  </si>
  <si>
    <t>US-2015-138835</t>
  </si>
  <si>
    <t>CA-2016-112214</t>
  </si>
  <si>
    <t>OFF-ST-10001505</t>
  </si>
  <si>
    <t>Perma STOR-ALL Hanging File Box, 13 1/8"W x 12 1/4"D x 10 1/2"H</t>
  </si>
  <si>
    <t>CA-2016-157434</t>
  </si>
  <si>
    <t>OFF-PA-10001526</t>
  </si>
  <si>
    <t>Xerox 1949</t>
  </si>
  <si>
    <t>US-2015-109456</t>
  </si>
  <si>
    <t>OFF-BI-10000136</t>
  </si>
  <si>
    <t>Avery Non-Stick Heavy Duty View Round Locking Ring Binders</t>
  </si>
  <si>
    <t>CA-2017-163776</t>
  </si>
  <si>
    <t>JS-16030</t>
  </si>
  <si>
    <t>Joy Smith</t>
  </si>
  <si>
    <t>Hattiesburg</t>
  </si>
  <si>
    <t>FUR-FU-10001185</t>
  </si>
  <si>
    <t>Advantus Employee of the Month Certificate Frame, 11 x 13-1/2</t>
  </si>
  <si>
    <t>CA-2016-135580</t>
  </si>
  <si>
    <t>OFF-PA-10000595</t>
  </si>
  <si>
    <t>Xerox 1929</t>
  </si>
  <si>
    <t>CA-2015-152422</t>
  </si>
  <si>
    <t>BD-11635</t>
  </si>
  <si>
    <t>Brian Derr</t>
  </si>
  <si>
    <t>US-2016-155369</t>
  </si>
  <si>
    <t>Carrollton</t>
  </si>
  <si>
    <t>CA-2017-117912</t>
  </si>
  <si>
    <t>Sierra Vista</t>
  </si>
  <si>
    <t>FUR-FU-10002088</t>
  </si>
  <si>
    <t>Nu-Dell Float Frame 11 x 14 1/2</t>
  </si>
  <si>
    <t>CA-2017-152765</t>
  </si>
  <si>
    <t>OFF-PA-10000483</t>
  </si>
  <si>
    <t>Xerox 19</t>
  </si>
  <si>
    <t>CA-2015-107524</t>
  </si>
  <si>
    <t>US-2015-165589</t>
  </si>
  <si>
    <t>Lubbock</t>
  </si>
  <si>
    <t>FUR-FU-10002396</t>
  </si>
  <si>
    <t>DAX Copper Panel Document Frame, 5 x 7 Size</t>
  </si>
  <si>
    <t>CA-2018-100111</t>
  </si>
  <si>
    <t>FUR-CH-10003846</t>
  </si>
  <si>
    <t>Hon Valutask Swivel Chairs</t>
  </si>
  <si>
    <t>US-2015-158400</t>
  </si>
  <si>
    <t>AH-10030</t>
  </si>
  <si>
    <t>Aaron Hawkins</t>
  </si>
  <si>
    <t>CA-2016-105613</t>
  </si>
  <si>
    <t>Mcallen</t>
  </si>
  <si>
    <t>TEC-AC-10000521</t>
  </si>
  <si>
    <t>Verbatim Slim CD and DVD Storage Cases, 50/Pack</t>
  </si>
  <si>
    <t>CA-2015-133543</t>
  </si>
  <si>
    <t>KM-16660</t>
  </si>
  <si>
    <t>Khloe Miller</t>
  </si>
  <si>
    <t>OFF-AR-10003394</t>
  </si>
  <si>
    <t>Newell 332</t>
  </si>
  <si>
    <t>CA-2017-104150</t>
  </si>
  <si>
    <t>AG-10330</t>
  </si>
  <si>
    <t>Alex Grayson</t>
  </si>
  <si>
    <t>CA-2015-103989</t>
  </si>
  <si>
    <t>TEC-PH-10004667</t>
  </si>
  <si>
    <t>Cisco 8x8 Inc. 6753i IP Business Phone System</t>
  </si>
  <si>
    <t>US-2015-106299</t>
  </si>
  <si>
    <t>OFF-BI-10001758</t>
  </si>
  <si>
    <t>Wilson Jones 14 Line Acrylic Coated Pressboard Data Binders</t>
  </si>
  <si>
    <t>CA-2018-157903</t>
  </si>
  <si>
    <t>AM-10705</t>
  </si>
  <si>
    <t>Anne McFarland</t>
  </si>
  <si>
    <t>Des Plaines</t>
  </si>
  <si>
    <t>CA-2018-107986</t>
  </si>
  <si>
    <t>MW-18220</t>
  </si>
  <si>
    <t>Mitch Webber</t>
  </si>
  <si>
    <t>US-2016-129553</t>
  </si>
  <si>
    <t>CA-2017-144400</t>
  </si>
  <si>
    <t>US-2017-115952</t>
  </si>
  <si>
    <t>CA-2016-151253</t>
  </si>
  <si>
    <t>CA-2015-141152</t>
  </si>
  <si>
    <t>OFF-BI-10002931</t>
  </si>
  <si>
    <t>Avery Trapezoid Extra Heavy Duty 4" Binders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</si>
  <si>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</si>
  <si>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</si>
  <si>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</si>
  <si>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</si>
  <si>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</si>
  <si>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</si>
  <si>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CA-2015-104402</t>
  </si>
  <si>
    <t>DB-13660</t>
  </si>
  <si>
    <t>Duane Benoit</t>
  </si>
  <si>
    <t>TEC-MA-10000423</t>
  </si>
  <si>
    <t>Texas Instruments TI-34 Scientific Calculator</t>
  </si>
  <si>
    <t>CA-2016-110289</t>
  </si>
  <si>
    <t>OFF-PA-10002986</t>
  </si>
  <si>
    <t>Xerox 1898</t>
  </si>
  <si>
    <t>CA-2016-146255</t>
  </si>
  <si>
    <t>EM-14140</t>
  </si>
  <si>
    <t>Eugene Moren</t>
  </si>
  <si>
    <t>CA-2015-134103</t>
  </si>
  <si>
    <t>CA-2016-147529</t>
  </si>
  <si>
    <t>CA-2018-131632</t>
  </si>
  <si>
    <t>CA-2018-125472</t>
  </si>
  <si>
    <t>CA-2016-121405</t>
  </si>
  <si>
    <t>FC-14335</t>
  </si>
  <si>
    <t>Fred Chung</t>
  </si>
  <si>
    <t>CA-2016-108532</t>
  </si>
  <si>
    <t>CC-12100</t>
  </si>
  <si>
    <t>Chad Cunningham</t>
  </si>
  <si>
    <t>TEC-PH-10001750</t>
  </si>
  <si>
    <t>Samsung Rugby III</t>
  </si>
  <si>
    <t>CA-2015-149524</t>
  </si>
  <si>
    <t>CA-2016-120621</t>
  </si>
  <si>
    <t>JW-16075</t>
  </si>
  <si>
    <t>Julia West</t>
  </si>
  <si>
    <t>OFF-AP-10002945</t>
  </si>
  <si>
    <t>Honeywell Enviracaire Portable HEPA Air Cleaner for 17' x 22' Room</t>
  </si>
  <si>
    <t>CA-2015-149594</t>
  </si>
  <si>
    <t>MF-18250</t>
  </si>
  <si>
    <t>Monica Federle</t>
  </si>
  <si>
    <t>CA-2016-103135</t>
  </si>
  <si>
    <t>SS-20515</t>
  </si>
  <si>
    <t>Shirley Schmidt</t>
  </si>
  <si>
    <t>CA-2015-103744</t>
  </si>
  <si>
    <t>MG-17875</t>
  </si>
  <si>
    <t>Michael Grace</t>
  </si>
  <si>
    <t>CA-2016-166947</t>
  </si>
  <si>
    <t>FUR-CH-10004997</t>
  </si>
  <si>
    <t>Hon Every-Day Series Multi-Task Chairs</t>
  </si>
  <si>
    <t>CA-2015-166086</t>
  </si>
  <si>
    <t>CT-11995</t>
  </si>
  <si>
    <t>Carol Triggs</t>
  </si>
  <si>
    <t>CA-2018-131282</t>
  </si>
  <si>
    <t>CA-2017-161543</t>
  </si>
  <si>
    <t>OFF-PA-10003971</t>
  </si>
  <si>
    <t>Xerox 1965</t>
  </si>
  <si>
    <t>CA-2017-148516</t>
  </si>
  <si>
    <t>TEC-AC-10003610</t>
  </si>
  <si>
    <t>Logitech Illuminated - Keyboard</t>
  </si>
  <si>
    <t>CA-2016-107678</t>
  </si>
  <si>
    <t>JK-16090</t>
  </si>
  <si>
    <t>Juliana Krohn</t>
  </si>
  <si>
    <t>FUR-CH-10001891</t>
  </si>
  <si>
    <t>Global Deluxe Office Fabric Chairs</t>
  </si>
  <si>
    <t>US-2018-167402</t>
  </si>
  <si>
    <t>OFF-PA-10004983</t>
  </si>
  <si>
    <t>Xerox 23</t>
  </si>
  <si>
    <t>CA-2015-130449</t>
  </si>
  <si>
    <t>VP-21760</t>
  </si>
  <si>
    <t>Victoria Pisteka</t>
  </si>
  <si>
    <t>CA-2016-141250</t>
  </si>
  <si>
    <t>Texas City</t>
  </si>
  <si>
    <t>CA-2018-161088</t>
  </si>
  <si>
    <t>OFF-BI-10002824</t>
  </si>
  <si>
    <t>Recycled Easel Ring Binders</t>
  </si>
  <si>
    <t>CA-2015-109134</t>
  </si>
  <si>
    <t>FUR-FU-10000320</t>
  </si>
  <si>
    <t>OIC Stacking Trays</t>
  </si>
  <si>
    <t>CA-2016-153535</t>
  </si>
  <si>
    <t>SG-20470</t>
  </si>
  <si>
    <t>Sheri Gordon</t>
  </si>
  <si>
    <t>Wilson</t>
  </si>
  <si>
    <t>FUR-FU-10001986</t>
  </si>
  <si>
    <t>Dana Fluorescent Magnifying Lamp, White, 36"</t>
  </si>
  <si>
    <t>CA-2015-120096</t>
  </si>
  <si>
    <t>OFF-PA-10001977</t>
  </si>
  <si>
    <t>Xerox 194</t>
  </si>
  <si>
    <t>CA-2016-156923</t>
  </si>
  <si>
    <t>CA-2017-162943</t>
  </si>
  <si>
    <t>FUR-CH-10001708</t>
  </si>
  <si>
    <t>Office Star - Contemporary Swivel Chair with Padded Adjustable Arms and Flex Back</t>
  </si>
  <si>
    <t>CA-2015-109302</t>
  </si>
  <si>
    <t>CS-12175</t>
  </si>
  <si>
    <t>Charles Sheldon</t>
  </si>
  <si>
    <t>OFF-BI-10002854</t>
  </si>
  <si>
    <t>Performers Binder/Pad Holder, Black</t>
  </si>
  <si>
    <t>US-2017-163461</t>
  </si>
  <si>
    <t>OFF-PA-10003134</t>
  </si>
  <si>
    <t>Xerox 1937</t>
  </si>
  <si>
    <t>US-2017-100461</t>
  </si>
  <si>
    <t>FUR-BO-10002545</t>
  </si>
  <si>
    <t>Atlantic Metals Mobile 3-Shelf Bookcases, Custom Colors</t>
  </si>
  <si>
    <t>CA-2016-162544</t>
  </si>
  <si>
    <t>CA-2015-124394</t>
  </si>
  <si>
    <t>Beaumont</t>
  </si>
  <si>
    <t>US-2016-165512</t>
  </si>
  <si>
    <t>US-2018-135013</t>
  </si>
  <si>
    <t>TEC-CO-10001449</t>
  </si>
  <si>
    <t>Hewlett Packard LaserJet 3310 Copier</t>
  </si>
  <si>
    <t>US-2018-149006</t>
  </si>
  <si>
    <t>BN-11470</t>
  </si>
  <si>
    <t>Brad Norvell</t>
  </si>
  <si>
    <t>OFF-ST-10003221</t>
  </si>
  <si>
    <t>Staple magnet</t>
  </si>
  <si>
    <t>CA-2016-110765</t>
  </si>
  <si>
    <t>CA-2016-112144</t>
  </si>
  <si>
    <t>CY-12745</t>
  </si>
  <si>
    <t>Craig Yedwab</t>
  </si>
  <si>
    <t>US-2017-134369</t>
  </si>
  <si>
    <t>BC-11125</t>
  </si>
  <si>
    <t>Becky Castell</t>
  </si>
  <si>
    <t>OFF-PA-10002195</t>
  </si>
  <si>
    <t>Xerox 1966</t>
  </si>
  <si>
    <t>CA-2018-123687</t>
  </si>
  <si>
    <t>KC-16675</t>
  </si>
  <si>
    <t>Kimberly Carter</t>
  </si>
  <si>
    <t>OFF-AP-10002670</t>
  </si>
  <si>
    <t>Belkin 8-Outlet Premiere SurgeMaster II Surge Protectors</t>
  </si>
  <si>
    <t>CA-2018-169474</t>
  </si>
  <si>
    <t>CA-2016-119480</t>
  </si>
  <si>
    <t>CA-2017-101980</t>
  </si>
  <si>
    <t>CA-2017-144337</t>
  </si>
  <si>
    <t>SG-20890</t>
  </si>
  <si>
    <t>Susan Gilcrest</t>
  </si>
  <si>
    <t>CA-2015-137911</t>
  </si>
  <si>
    <t>CA-2016-145835</t>
  </si>
  <si>
    <t>CA-2015-122070</t>
  </si>
  <si>
    <t>OFF-EN-10004773</t>
  </si>
  <si>
    <t>CA-2017-110492</t>
  </si>
  <si>
    <t>OFF-ST-10003716</t>
  </si>
  <si>
    <t>Tennsco Double-Tier Lockers</t>
  </si>
  <si>
    <t>CA-2018-154760</t>
  </si>
  <si>
    <t>CA-2018-122987</t>
  </si>
  <si>
    <t>CA-2017-133368</t>
  </si>
  <si>
    <t>OFF-PA-10004039</t>
  </si>
  <si>
    <t>Xerox 1882</t>
  </si>
  <si>
    <t>US-2017-150357</t>
  </si>
  <si>
    <t>CA-2017-113656</t>
  </si>
  <si>
    <t>FUR-FU-10000719</t>
  </si>
  <si>
    <t>DAX Cubicle Frames, 8-1/2 x 11</t>
  </si>
  <si>
    <t>CA-2016-101126</t>
  </si>
  <si>
    <t>OFF-ST-10000943</t>
  </si>
  <si>
    <t>Eldon ProFile File 'N Store Portable File Tub Letter/Legal Size Black</t>
  </si>
  <si>
    <t>CA-2015-137274</t>
  </si>
  <si>
    <t>CA-2017-132066</t>
  </si>
  <si>
    <t>CA-2017-105732</t>
  </si>
  <si>
    <t>CA-2018-108035</t>
  </si>
  <si>
    <t>FUR-CH-10000454</t>
  </si>
  <si>
    <t>Hon Deluxe Fabric Upholstered Stacking Chairs, Rounded Back</t>
  </si>
  <si>
    <t>CA-2015-165568</t>
  </si>
  <si>
    <t>OFF-BI-10001031</t>
  </si>
  <si>
    <t>Pressboard Data Binders by Wilson Jones</t>
  </si>
  <si>
    <t>CA-2018-121048</t>
  </si>
  <si>
    <t>TC-21295</t>
  </si>
  <si>
    <t>Toby Carlisle</t>
  </si>
  <si>
    <t>Westminster</t>
  </si>
  <si>
    <t>CA-2015-140396</t>
  </si>
  <si>
    <t>OFF-EN-10002592</t>
  </si>
  <si>
    <t>CA-2015-133354</t>
  </si>
  <si>
    <t>OFF-PA-10001800</t>
  </si>
  <si>
    <t>Xerox 220</t>
  </si>
  <si>
    <t>US-2015-120740</t>
  </si>
  <si>
    <t>CA-2015-105417</t>
  </si>
  <si>
    <t>FUR-FU-10004864</t>
  </si>
  <si>
    <t>Howard Miller 14-1/2" Diameter Chrome Round Wall Clock</t>
  </si>
  <si>
    <t>CA-2018-139493</t>
  </si>
  <si>
    <t>SG-20605</t>
  </si>
  <si>
    <t>Speros Goranitis</t>
  </si>
  <si>
    <t>Asheville</t>
  </si>
  <si>
    <t>OFF-AR-10003158</t>
  </si>
  <si>
    <t>Fluorescent Highlighters by Dixon</t>
  </si>
  <si>
    <t>CA-2015-142951</t>
  </si>
  <si>
    <t>CA-2018-107958</t>
  </si>
  <si>
    <t>CA-2016-149636</t>
  </si>
  <si>
    <t>Colorado Springs</t>
  </si>
  <si>
    <t>OFF-PA-10004041</t>
  </si>
  <si>
    <t>It's Hot Message Books with Stickers, 2 3/4" x 5"</t>
  </si>
  <si>
    <t>CA-2017-152800</t>
  </si>
  <si>
    <t>SP-20920</t>
  </si>
  <si>
    <t>Susan Pistek</t>
  </si>
  <si>
    <t>CA-2017-134334</t>
  </si>
  <si>
    <t>CA-2015-125150</t>
  </si>
  <si>
    <t>CA-2016-128958</t>
  </si>
  <si>
    <t>CR-12820</t>
  </si>
  <si>
    <t>Cyra Reiten</t>
  </si>
  <si>
    <t>West Palm Beach</t>
  </si>
  <si>
    <t>US-2015-137869</t>
  </si>
  <si>
    <t>CV-12295</t>
  </si>
  <si>
    <t>Christina VanderZanden</t>
  </si>
  <si>
    <t>CA-2016-143364</t>
  </si>
  <si>
    <t>TG-21310</t>
  </si>
  <si>
    <t>Toby Gnade</t>
  </si>
  <si>
    <t>CA-2015-166051</t>
  </si>
  <si>
    <t>TEC-PH-10002680</t>
  </si>
  <si>
    <t>Samsung Galaxy Note 3</t>
  </si>
  <si>
    <t>CA-2015-103800</t>
  </si>
  <si>
    <t>CA-2017-137939</t>
  </si>
  <si>
    <t>TEC-PH-10003589</t>
  </si>
  <si>
    <t>invisibleSHIELD by ZAGG Smudge-Free Screen Protector</t>
  </si>
  <si>
    <t>CA-2016-153738</t>
  </si>
  <si>
    <t>US-2016-160563</t>
  </si>
  <si>
    <t>TEC-AC-10002567</t>
  </si>
  <si>
    <t>Logitech G602 Wireless Gaming Mouse</t>
  </si>
  <si>
    <t>CA-2018-143658</t>
  </si>
  <si>
    <t>CA-2016-149846</t>
  </si>
  <si>
    <t>SB-20185</t>
  </si>
  <si>
    <t>Sarah Brown</t>
  </si>
  <si>
    <t>CA-2017-120803</t>
  </si>
  <si>
    <t>Milford</t>
  </si>
  <si>
    <t>CA-2017-162355</t>
  </si>
  <si>
    <t>Sandy Springs</t>
  </si>
  <si>
    <t>OFF-AR-10004344</t>
  </si>
  <si>
    <t>Bulldog Vacuum Base Pencil Sharpener</t>
  </si>
  <si>
    <t>CA-2016-129217</t>
  </si>
  <si>
    <t>CA-2018-134810</t>
  </si>
  <si>
    <t>US-2018-167318</t>
  </si>
  <si>
    <t>TEC-AC-10003870</t>
  </si>
  <si>
    <t>Logitech Z-906 Speaker sys - home theater - 5.1-CH</t>
  </si>
  <si>
    <t>CA-2017-128671</t>
  </si>
  <si>
    <t>OFF-PA-10001870</t>
  </si>
  <si>
    <t>Xerox 202</t>
  </si>
  <si>
    <t>CA-2018-107265</t>
  </si>
  <si>
    <t>Marion</t>
  </si>
  <si>
    <t>CA-2018-114370</t>
  </si>
  <si>
    <t>TEC-PH-10000213</t>
  </si>
  <si>
    <t>Seidio BD2-HK3IPH5-BK DILEX Case and Holster Combo for Apple iPhone 5/5s - Black</t>
  </si>
  <si>
    <t>US-2017-155173</t>
  </si>
  <si>
    <t>CA-2015-146500</t>
  </si>
  <si>
    <t>OFF-BI-10002432</t>
  </si>
  <si>
    <t>Wilson Jones Standard D-Ring Binders</t>
  </si>
  <si>
    <t>CA-2015-169061</t>
  </si>
  <si>
    <t>AB-10150</t>
  </si>
  <si>
    <t>Aimee Bixby</t>
  </si>
  <si>
    <t>CA-2017-119074</t>
  </si>
  <si>
    <t>FUR-FU-10004053</t>
  </si>
  <si>
    <t>DAX Two-Tone Silver Metal Document Frame</t>
  </si>
  <si>
    <t>CA-2017-123540</t>
  </si>
  <si>
    <t>FUR-CH-10000847</t>
  </si>
  <si>
    <t>Global Executive Mid-Back Manager's Chair</t>
  </si>
  <si>
    <t>CA-2017-146437</t>
  </si>
  <si>
    <t>CA-2017-138233</t>
  </si>
  <si>
    <t>TEC-AC-10002001</t>
  </si>
  <si>
    <t>Logitech Wireless Gaming Headset G930</t>
  </si>
  <si>
    <t>CA-2018-141705</t>
  </si>
  <si>
    <t>Mansfield</t>
  </si>
  <si>
    <t>FUR-TA-10004607</t>
  </si>
  <si>
    <t>Hon 2111 Invitation Series Straight Table</t>
  </si>
  <si>
    <t>US-2015-132745</t>
  </si>
  <si>
    <t>NF-18475</t>
  </si>
  <si>
    <t>Neil Französisch</t>
  </si>
  <si>
    <t>OFF-FA-10000254</t>
  </si>
  <si>
    <t>Sterling Rubber Bands by Alliance</t>
  </si>
  <si>
    <t>CA-2016-132276</t>
  </si>
  <si>
    <t>LC-16960</t>
  </si>
  <si>
    <t>Lindsay Castell</t>
  </si>
  <si>
    <t>US-2017-150140</t>
  </si>
  <si>
    <t>Vermont</t>
  </si>
  <si>
    <t>TEC-PH-10002555</t>
  </si>
  <si>
    <t>Nortel Meridian M5316 Digital phone</t>
  </si>
  <si>
    <t>CA-2015-116666</t>
  </si>
  <si>
    <t>KT-16480</t>
  </si>
  <si>
    <t>Kean Thornton</t>
  </si>
  <si>
    <t>US-2017-112396</t>
  </si>
  <si>
    <t>CA-2017-150483</t>
  </si>
  <si>
    <t>FUR-FU-10001379</t>
  </si>
  <si>
    <t>Executive Impressions 16-1/2" Circular Wall Clock</t>
  </si>
  <si>
    <t>CA-2016-109603</t>
  </si>
  <si>
    <t>EM-13825</t>
  </si>
  <si>
    <t>Elizabeth Moffitt</t>
  </si>
  <si>
    <t>CA-2018-111717</t>
  </si>
  <si>
    <t>SW-20245</t>
  </si>
  <si>
    <t>Scot Wooten</t>
  </si>
  <si>
    <t>FUR-CH-10001545</t>
  </si>
  <si>
    <t>Hon Comfortask Task/Swivel Chairs</t>
  </si>
  <si>
    <t>CA-2018-106047</t>
  </si>
  <si>
    <t>CS-11860</t>
  </si>
  <si>
    <t>Cari Schnelling</t>
  </si>
  <si>
    <t>CA-2016-165554</t>
  </si>
  <si>
    <t>OFF-PA-10003724</t>
  </si>
  <si>
    <t>Wirebound Message Book, 4 per Page</t>
  </si>
  <si>
    <t>CA-2015-102645</t>
  </si>
  <si>
    <t>IM-15055</t>
  </si>
  <si>
    <t>Ionia McGrath</t>
  </si>
  <si>
    <t>CA-2016-164007</t>
  </si>
  <si>
    <t>MG-17695</t>
  </si>
  <si>
    <t>Maureen Gnade</t>
  </si>
  <si>
    <t>TEC-AC-10003433</t>
  </si>
  <si>
    <t>Maxell 4.7GB DVD+R 5/Pack</t>
  </si>
  <si>
    <t>CA-2015-125759</t>
  </si>
  <si>
    <t>FUR-FU-10002111</t>
  </si>
  <si>
    <t>Master Caster Door Stop, Large Brown</t>
  </si>
  <si>
    <t>CA-2016-111948</t>
  </si>
  <si>
    <t>CA-2018-124940</t>
  </si>
  <si>
    <t>TEC-AC-10002076</t>
  </si>
  <si>
    <t>Microsoft Natural Keyboard Elite</t>
  </si>
  <si>
    <t>CA-2016-167696</t>
  </si>
  <si>
    <t>OFF-EN-10001539</t>
  </si>
  <si>
    <t>CA-2015-159814</t>
  </si>
  <si>
    <t>FUR-FU-10001731</t>
  </si>
  <si>
    <t>Acrylic Self-Standing Desk Frames</t>
  </si>
  <si>
    <t>CA-2015-148285</t>
  </si>
  <si>
    <t>CA-2015-156545</t>
  </si>
  <si>
    <t>US-2017-102232</t>
  </si>
  <si>
    <t>MF-17665</t>
  </si>
  <si>
    <t>Maureen Fritzler</t>
  </si>
  <si>
    <t>OFF-AR-10000538</t>
  </si>
  <si>
    <t>Boston Model 1800 Electric Pencil Sharpener, Gray</t>
  </si>
  <si>
    <t>CA-2015-154165</t>
  </si>
  <si>
    <t>CA-2016-135727</t>
  </si>
  <si>
    <t>CA-2016-116841</t>
  </si>
  <si>
    <t>OFF-AP-10002403</t>
  </si>
  <si>
    <t>Acco Smartsocket Color-Coded Six-Outlet AC Adapter Model Surge Protectors</t>
  </si>
  <si>
    <t>CA-2016-116638</t>
  </si>
  <si>
    <t>CA-2015-144281</t>
  </si>
  <si>
    <t>CA-2017-113390</t>
  </si>
  <si>
    <t>OFF-AR-10003183</t>
  </si>
  <si>
    <t>Avery Fluorescent Highlighter Four-Color Set</t>
  </si>
  <si>
    <t>CA-2015-123855</t>
  </si>
  <si>
    <t>TEC-PH-10000215</t>
  </si>
  <si>
    <t>Plantronics Cordless Phone Headset with In-line Volume - M214C</t>
  </si>
  <si>
    <t>CA-2018-101959</t>
  </si>
  <si>
    <t>CA-2016-155635</t>
  </si>
  <si>
    <t>OFF-BI-10000962</t>
  </si>
  <si>
    <t>Acco Flexible ACCOHIDE Square Ring Data Binder, Dark Blue, 11 1/2" X 14" 7/8"</t>
  </si>
  <si>
    <t>EDA Matric</t>
  </si>
  <si>
    <t>Result</t>
  </si>
  <si>
    <t>Total Sales</t>
  </si>
  <si>
    <t>Average Sales</t>
  </si>
  <si>
    <t>Maximum Sales</t>
  </si>
  <si>
    <t>Minimum Sales</t>
  </si>
  <si>
    <t>Total Records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</si>
  <si>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</si>
  <si>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</si>
  <si>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</si>
  <si>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</si>
  <si>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</si>
  <si>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</si>
  <si>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</si>
  <si>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</si>
  <si>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</si>
  <si>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</si>
  <si>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</si>
  <si>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</si>
  <si>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</si>
  <si>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</si>
  <si>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</si>
  <si>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</si>
  <si>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</si>
  <si>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</si>
  <si>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</si>
  <si>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CODE ALPHA | EDA SALES DASHBOARD</t>
  </si>
  <si>
    <t>Exploratory Data Analysis • Excel &amp; Power Query</t>
  </si>
  <si>
    <t xml:space="preserve">          TOTAL SALE           </t>
  </si>
  <si>
    <t xml:space="preserve">     AVERAGE SALES      </t>
  </si>
  <si>
    <t xml:space="preserve">     MAXIMUM SALES     </t>
  </si>
  <si>
    <t xml:space="preserve">     MINIMUM SALES     </t>
  </si>
  <si>
    <t xml:space="preserve">     TOTAL RECORD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</si>
</sst>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20"/>
      <color theme="1"/>
      <name val="Aharoni"/>
      <charset val="177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Data.xlsx]Region wise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Pivot'!$A$4:$A$8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Pivot'!$B$4:$B$8</c:f>
              <c:numCache>
                <c:formatCode>General</c:formatCode>
                <c:ptCount val="4"/>
                <c:pt idx="0">
                  <c:v>46032948</c:v>
                </c:pt>
                <c:pt idx="1">
                  <c:v>38036705</c:v>
                </c:pt>
                <c:pt idx="2">
                  <c:v>34362474</c:v>
                </c:pt>
                <c:pt idx="3">
                  <c:v>41186075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9-4B70-8261-ED57FA65D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6232864"/>
        <c:axId val="428026656"/>
      </c:barChart>
      <c:catAx>
        <c:axId val="9662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26656"/>
        <c:crosses val="autoZero"/>
        <c:auto val="1"/>
        <c:lblAlgn val="ctr"/>
        <c:lblOffset val="100"/>
        <c:noMultiLvlLbl val="0"/>
      </c:catAx>
      <c:valAx>
        <c:axId val="42802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3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Data.xlsx]Category wise sales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Sub-Category-wise Sales Analysis</a:t>
            </a:r>
            <a:endParaRPr lang="en-US"/>
          </a:p>
        </c:rich>
      </c:tx>
      <c:layout>
        <c:manualLayout>
          <c:xMode val="edge"/>
          <c:yMode val="edge"/>
          <c:x val="0.38845601665156165"/>
          <c:y val="4.4681374287673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42397736185826"/>
          <c:y val="0.12352699155848762"/>
          <c:w val="0.73891497749528301"/>
          <c:h val="0.782877862986996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'Category wise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sales Analysis'!$A$4:$A$21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Phones</c:v>
                </c:pt>
                <c:pt idx="3">
                  <c:v>Chairs</c:v>
                </c:pt>
                <c:pt idx="4">
                  <c:v>Copiers</c:v>
                </c:pt>
                <c:pt idx="5">
                  <c:v>Storage</c:v>
                </c:pt>
                <c:pt idx="6">
                  <c:v>Machines</c:v>
                </c:pt>
                <c:pt idx="7">
                  <c:v>Binders</c:v>
                </c:pt>
                <c:pt idx="8">
                  <c:v>Furnishings</c:v>
                </c:pt>
                <c:pt idx="9">
                  <c:v>Appliances</c:v>
                </c:pt>
                <c:pt idx="10">
                  <c:v>Accessories</c:v>
                </c:pt>
                <c:pt idx="11">
                  <c:v>Paper</c:v>
                </c:pt>
                <c:pt idx="12">
                  <c:v>Art</c:v>
                </c:pt>
                <c:pt idx="13">
                  <c:v>Envelopes</c:v>
                </c:pt>
                <c:pt idx="14">
                  <c:v>Supplies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'Category wise sales Analysis'!$B$4:$B$21</c:f>
              <c:numCache>
                <c:formatCode>General</c:formatCode>
                <c:ptCount val="17"/>
                <c:pt idx="0">
                  <c:v>29765873</c:v>
                </c:pt>
                <c:pt idx="1">
                  <c:v>27664641</c:v>
                </c:pt>
                <c:pt idx="2">
                  <c:v>25822400</c:v>
                </c:pt>
                <c:pt idx="3">
                  <c:v>21868551</c:v>
                </c:pt>
                <c:pt idx="4">
                  <c:v>15399872</c:v>
                </c:pt>
                <c:pt idx="5">
                  <c:v>7312609</c:v>
                </c:pt>
                <c:pt idx="6">
                  <c:v>7284930</c:v>
                </c:pt>
                <c:pt idx="7">
                  <c:v>7233721</c:v>
                </c:pt>
                <c:pt idx="8">
                  <c:v>4470128</c:v>
                </c:pt>
                <c:pt idx="9">
                  <c:v>3162137</c:v>
                </c:pt>
                <c:pt idx="10">
                  <c:v>3063125</c:v>
                </c:pt>
                <c:pt idx="11">
                  <c:v>2589898</c:v>
                </c:pt>
                <c:pt idx="12">
                  <c:v>2343108</c:v>
                </c:pt>
                <c:pt idx="13">
                  <c:v>924799</c:v>
                </c:pt>
                <c:pt idx="14">
                  <c:v>383465</c:v>
                </c:pt>
                <c:pt idx="15">
                  <c:v>227847</c:v>
                </c:pt>
                <c:pt idx="16">
                  <c:v>101098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6-4400-A315-ED1CEE82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987400"/>
        <c:axId val="1223619744"/>
      </c:barChart>
      <c:catAx>
        <c:axId val="122298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9744"/>
        <c:crosses val="autoZero"/>
        <c:auto val="1"/>
        <c:lblAlgn val="ctr"/>
        <c:lblOffset val="100"/>
        <c:noMultiLvlLbl val="0"/>
      </c:catAx>
      <c:valAx>
        <c:axId val="12236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8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Data.xlsx]Monthly Sales Trend!PivotTable4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736252</c:v>
                </c:pt>
                <c:pt idx="1">
                  <c:v>406716</c:v>
                </c:pt>
                <c:pt idx="2">
                  <c:v>3028074</c:v>
                </c:pt>
                <c:pt idx="3">
                  <c:v>1538964</c:v>
                </c:pt>
                <c:pt idx="4">
                  <c:v>2056098</c:v>
                </c:pt>
                <c:pt idx="5">
                  <c:v>2103387</c:v>
                </c:pt>
                <c:pt idx="6">
                  <c:v>2340060</c:v>
                </c:pt>
                <c:pt idx="7">
                  <c:v>1736091</c:v>
                </c:pt>
                <c:pt idx="8">
                  <c:v>4321373</c:v>
                </c:pt>
                <c:pt idx="9">
                  <c:v>3930222</c:v>
                </c:pt>
                <c:pt idx="10">
                  <c:v>1879736</c:v>
                </c:pt>
                <c:pt idx="11">
                  <c:v>4813284</c:v>
                </c:pt>
                <c:pt idx="12">
                  <c:v>6098012</c:v>
                </c:pt>
                <c:pt idx="13">
                  <c:v>365639</c:v>
                </c:pt>
                <c:pt idx="14">
                  <c:v>1508959</c:v>
                </c:pt>
                <c:pt idx="15">
                  <c:v>2429279</c:v>
                </c:pt>
                <c:pt idx="16">
                  <c:v>3005756</c:v>
                </c:pt>
                <c:pt idx="17">
                  <c:v>2064651</c:v>
                </c:pt>
                <c:pt idx="18">
                  <c:v>3117338</c:v>
                </c:pt>
                <c:pt idx="19">
                  <c:v>2115765</c:v>
                </c:pt>
                <c:pt idx="20">
                  <c:v>2726748</c:v>
                </c:pt>
                <c:pt idx="21">
                  <c:v>10959680</c:v>
                </c:pt>
                <c:pt idx="22">
                  <c:v>6353074</c:v>
                </c:pt>
                <c:pt idx="23">
                  <c:v>2995563</c:v>
                </c:pt>
                <c:pt idx="24">
                  <c:v>1832970</c:v>
                </c:pt>
                <c:pt idx="25">
                  <c:v>2227161</c:v>
                </c:pt>
                <c:pt idx="26">
                  <c:v>2805344</c:v>
                </c:pt>
                <c:pt idx="27">
                  <c:v>3959483</c:v>
                </c:pt>
                <c:pt idx="28">
                  <c:v>758999</c:v>
                </c:pt>
                <c:pt idx="29">
                  <c:v>1724512</c:v>
                </c:pt>
                <c:pt idx="30">
                  <c:v>2296061</c:v>
                </c:pt>
                <c:pt idx="31">
                  <c:v>1724959</c:v>
                </c:pt>
                <c:pt idx="32">
                  <c:v>12486656</c:v>
                </c:pt>
                <c:pt idx="33">
                  <c:v>1187493</c:v>
                </c:pt>
                <c:pt idx="34">
                  <c:v>800008</c:v>
                </c:pt>
                <c:pt idx="35">
                  <c:v>6169104</c:v>
                </c:pt>
                <c:pt idx="36">
                  <c:v>4157460</c:v>
                </c:pt>
                <c:pt idx="37">
                  <c:v>1187491</c:v>
                </c:pt>
                <c:pt idx="38">
                  <c:v>3254920</c:v>
                </c:pt>
                <c:pt idx="39">
                  <c:v>422894</c:v>
                </c:pt>
                <c:pt idx="40">
                  <c:v>1132354</c:v>
                </c:pt>
                <c:pt idx="41">
                  <c:v>10543867</c:v>
                </c:pt>
                <c:pt idx="42">
                  <c:v>1244536</c:v>
                </c:pt>
                <c:pt idx="43">
                  <c:v>6800683</c:v>
                </c:pt>
                <c:pt idx="44">
                  <c:v>2038312</c:v>
                </c:pt>
                <c:pt idx="45">
                  <c:v>13997785</c:v>
                </c:pt>
                <c:pt idx="46">
                  <c:v>2762495</c:v>
                </c:pt>
                <c:pt idx="47">
                  <c:v>1471934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C-4531-A53D-317ABAAAC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461120"/>
        <c:axId val="1340462920"/>
      </c:lineChart>
      <c:catAx>
        <c:axId val="1340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62920"/>
        <c:crosses val="autoZero"/>
        <c:auto val="1"/>
        <c:lblAlgn val="ctr"/>
        <c:lblOffset val="100"/>
        <c:noMultiLvlLbl val="0"/>
      </c:catAx>
      <c:valAx>
        <c:axId val="134046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611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Data.xlsx]Customer Segment wise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Segment-wise Sales Analysis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 wise sales'!$A$4:$A$7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wise sales'!$B$4:$B$7</c:f>
              <c:numCache>
                <c:formatCode>General</c:formatCode>
                <c:ptCount val="3"/>
                <c:pt idx="0">
                  <c:v>79927918</c:v>
                </c:pt>
                <c:pt idx="1">
                  <c:v>51129636</c:v>
                </c:pt>
                <c:pt idx="2">
                  <c:v>28560648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3-491C-8288-CD04C526EB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456632"/>
        <c:axId val="572464912"/>
      </c:barChart>
      <c:catAx>
        <c:axId val="57245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64912"/>
        <c:crosses val="autoZero"/>
        <c:auto val="1"/>
        <c:lblAlgn val="ctr"/>
        <c:lblOffset val="100"/>
        <c:noMultiLvlLbl val="0"/>
      </c:catAx>
      <c:valAx>
        <c:axId val="5724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Data.xlsx]Category wise 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wise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Pivot Table'!$B$4:$B$7</c:f>
              <c:numCache>
                <c:formatCode>General</c:formatCode>
                <c:ptCount val="3"/>
                <c:pt idx="0">
                  <c:v>83769193</c:v>
                </c:pt>
                <c:pt idx="1">
                  <c:v>24278682</c:v>
                </c:pt>
                <c:pt idx="2">
                  <c:v>51570327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9-4217-8B51-50A4F52E2B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458104"/>
        <c:axId val="1331456304"/>
      </c:barChart>
      <c:catAx>
        <c:axId val="133145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6304"/>
        <c:crosses val="autoZero"/>
        <c:auto val="1"/>
        <c:lblAlgn val="ctr"/>
        <c:lblOffset val="100"/>
        <c:noMultiLvlLbl val="0"/>
      </c:catAx>
      <c:valAx>
        <c:axId val="133145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8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Data.xlsx]Customer Segment wise sales!PivotTable5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Segment-wise Sales Analysis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 wise sales'!$A$4:$A$7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wise sales'!$B$4:$B$7</c:f>
              <c:numCache>
                <c:formatCode>General</c:formatCode>
                <c:ptCount val="3"/>
                <c:pt idx="0">
                  <c:v>79927918</c:v>
                </c:pt>
                <c:pt idx="1">
                  <c:v>51129636</c:v>
                </c:pt>
                <c:pt idx="2">
                  <c:v>28560648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5-41C3-9165-80AEBC4E6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456632"/>
        <c:axId val="572464912"/>
      </c:barChart>
      <c:catAx>
        <c:axId val="57245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64912"/>
        <c:crosses val="autoZero"/>
        <c:auto val="1"/>
        <c:lblAlgn val="ctr"/>
        <c:lblOffset val="100"/>
        <c:noMultiLvlLbl val="0"/>
      </c:catAx>
      <c:valAx>
        <c:axId val="5724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Data.xlsx]Monthly Sales Trend!PivotTable4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736252</c:v>
                </c:pt>
                <c:pt idx="1">
                  <c:v>406716</c:v>
                </c:pt>
                <c:pt idx="2">
                  <c:v>3028074</c:v>
                </c:pt>
                <c:pt idx="3">
                  <c:v>1538964</c:v>
                </c:pt>
                <c:pt idx="4">
                  <c:v>2056098</c:v>
                </c:pt>
                <c:pt idx="5">
                  <c:v>2103387</c:v>
                </c:pt>
                <c:pt idx="6">
                  <c:v>2340060</c:v>
                </c:pt>
                <c:pt idx="7">
                  <c:v>1736091</c:v>
                </c:pt>
                <c:pt idx="8">
                  <c:v>4321373</c:v>
                </c:pt>
                <c:pt idx="9">
                  <c:v>3930222</c:v>
                </c:pt>
                <c:pt idx="10">
                  <c:v>1879736</c:v>
                </c:pt>
                <c:pt idx="11">
                  <c:v>4813284</c:v>
                </c:pt>
                <c:pt idx="12">
                  <c:v>6098012</c:v>
                </c:pt>
                <c:pt idx="13">
                  <c:v>365639</c:v>
                </c:pt>
                <c:pt idx="14">
                  <c:v>1508959</c:v>
                </c:pt>
                <c:pt idx="15">
                  <c:v>2429279</c:v>
                </c:pt>
                <c:pt idx="16">
                  <c:v>3005756</c:v>
                </c:pt>
                <c:pt idx="17">
                  <c:v>2064651</c:v>
                </c:pt>
                <c:pt idx="18">
                  <c:v>3117338</c:v>
                </c:pt>
                <c:pt idx="19">
                  <c:v>2115765</c:v>
                </c:pt>
                <c:pt idx="20">
                  <c:v>2726748</c:v>
                </c:pt>
                <c:pt idx="21">
                  <c:v>10959680</c:v>
                </c:pt>
                <c:pt idx="22">
                  <c:v>6353074</c:v>
                </c:pt>
                <c:pt idx="23">
                  <c:v>2995563</c:v>
                </c:pt>
                <c:pt idx="24">
                  <c:v>1832970</c:v>
                </c:pt>
                <c:pt idx="25">
                  <c:v>2227161</c:v>
                </c:pt>
                <c:pt idx="26">
                  <c:v>2805344</c:v>
                </c:pt>
                <c:pt idx="27">
                  <c:v>3959483</c:v>
                </c:pt>
                <c:pt idx="28">
                  <c:v>758999</c:v>
                </c:pt>
                <c:pt idx="29">
                  <c:v>1724512</c:v>
                </c:pt>
                <c:pt idx="30">
                  <c:v>2296061</c:v>
                </c:pt>
                <c:pt idx="31">
                  <c:v>1724959</c:v>
                </c:pt>
                <c:pt idx="32">
                  <c:v>12486656</c:v>
                </c:pt>
                <c:pt idx="33">
                  <c:v>1187493</c:v>
                </c:pt>
                <c:pt idx="34">
                  <c:v>800008</c:v>
                </c:pt>
                <c:pt idx="35">
                  <c:v>6169104</c:v>
                </c:pt>
                <c:pt idx="36">
                  <c:v>4157460</c:v>
                </c:pt>
                <c:pt idx="37">
                  <c:v>1187491</c:v>
                </c:pt>
                <c:pt idx="38">
                  <c:v>3254920</c:v>
                </c:pt>
                <c:pt idx="39">
                  <c:v>422894</c:v>
                </c:pt>
                <c:pt idx="40">
                  <c:v>1132354</c:v>
                </c:pt>
                <c:pt idx="41">
                  <c:v>10543867</c:v>
                </c:pt>
                <c:pt idx="42">
                  <c:v>1244536</c:v>
                </c:pt>
                <c:pt idx="43">
                  <c:v>6800683</c:v>
                </c:pt>
                <c:pt idx="44">
                  <c:v>2038312</c:v>
                </c:pt>
                <c:pt idx="45">
                  <c:v>13997785</c:v>
                </c:pt>
                <c:pt idx="46">
                  <c:v>2762495</c:v>
                </c:pt>
                <c:pt idx="47">
                  <c:v>1471934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A-4604-9570-1321A097C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461120"/>
        <c:axId val="1340462920"/>
      </c:lineChart>
      <c:catAx>
        <c:axId val="1340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62920"/>
        <c:crosses val="autoZero"/>
        <c:auto val="1"/>
        <c:lblAlgn val="ctr"/>
        <c:lblOffset val="100"/>
        <c:noMultiLvlLbl val="0"/>
      </c:catAx>
      <c:valAx>
        <c:axId val="134046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611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Data.xlsx]Region wise 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Pivot'!$A$4:$A$8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Pivot'!$B$4:$B$8</c:f>
              <c:numCache>
                <c:formatCode>General</c:formatCode>
                <c:ptCount val="4"/>
                <c:pt idx="0">
                  <c:v>46032948</c:v>
                </c:pt>
                <c:pt idx="1">
                  <c:v>38036705</c:v>
                </c:pt>
                <c:pt idx="2">
                  <c:v>34362474</c:v>
                </c:pt>
                <c:pt idx="3">
                  <c:v>41186075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E-4AAA-AF7F-32D54AF789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6232864"/>
        <c:axId val="428026656"/>
      </c:barChart>
      <c:catAx>
        <c:axId val="9662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26656"/>
        <c:crosses val="autoZero"/>
        <c:auto val="1"/>
        <c:lblAlgn val="ctr"/>
        <c:lblOffset val="100"/>
        <c:noMultiLvlLbl val="0"/>
      </c:catAx>
      <c:valAx>
        <c:axId val="42802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3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Data.xlsx]Category wise sales Analysis!PivotTable3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Sub-Category-wise Sales Analysis</a:t>
            </a:r>
            <a:endParaRPr lang="en-US"/>
          </a:p>
        </c:rich>
      </c:tx>
      <c:layout>
        <c:manualLayout>
          <c:xMode val="edge"/>
          <c:yMode val="edge"/>
          <c:x val="0.38845601665156165"/>
          <c:y val="4.4681374287673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42397736185826"/>
          <c:y val="0.12352699155848762"/>
          <c:w val="0.73891497749528301"/>
          <c:h val="0.782877862986996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'Category wise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sales Analysis'!$A$4:$A$21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Phones</c:v>
                </c:pt>
                <c:pt idx="3">
                  <c:v>Chairs</c:v>
                </c:pt>
                <c:pt idx="4">
                  <c:v>Copiers</c:v>
                </c:pt>
                <c:pt idx="5">
                  <c:v>Storage</c:v>
                </c:pt>
                <c:pt idx="6">
                  <c:v>Machines</c:v>
                </c:pt>
                <c:pt idx="7">
                  <c:v>Binders</c:v>
                </c:pt>
                <c:pt idx="8">
                  <c:v>Furnishings</c:v>
                </c:pt>
                <c:pt idx="9">
                  <c:v>Appliances</c:v>
                </c:pt>
                <c:pt idx="10">
                  <c:v>Accessories</c:v>
                </c:pt>
                <c:pt idx="11">
                  <c:v>Paper</c:v>
                </c:pt>
                <c:pt idx="12">
                  <c:v>Art</c:v>
                </c:pt>
                <c:pt idx="13">
                  <c:v>Envelopes</c:v>
                </c:pt>
                <c:pt idx="14">
                  <c:v>Supplies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'Category wise sales Analysis'!$B$4:$B$21</c:f>
              <c:numCache>
                <c:formatCode>General</c:formatCode>
                <c:ptCount val="17"/>
                <c:pt idx="0">
                  <c:v>29765873</c:v>
                </c:pt>
                <c:pt idx="1">
                  <c:v>27664641</c:v>
                </c:pt>
                <c:pt idx="2">
                  <c:v>25822400</c:v>
                </c:pt>
                <c:pt idx="3">
                  <c:v>21868551</c:v>
                </c:pt>
                <c:pt idx="4">
                  <c:v>15399872</c:v>
                </c:pt>
                <c:pt idx="5">
                  <c:v>7312609</c:v>
                </c:pt>
                <c:pt idx="6">
                  <c:v>7284930</c:v>
                </c:pt>
                <c:pt idx="7">
                  <c:v>7233721</c:v>
                </c:pt>
                <c:pt idx="8">
                  <c:v>4470128</c:v>
                </c:pt>
                <c:pt idx="9">
                  <c:v>3162137</c:v>
                </c:pt>
                <c:pt idx="10">
                  <c:v>3063125</c:v>
                </c:pt>
                <c:pt idx="11">
                  <c:v>2589898</c:v>
                </c:pt>
                <c:pt idx="12">
                  <c:v>2343108</c:v>
                </c:pt>
                <c:pt idx="13">
                  <c:v>924799</c:v>
                </c:pt>
                <c:pt idx="14">
                  <c:v>383465</c:v>
                </c:pt>
                <c:pt idx="15">
                  <c:v>227847</c:v>
                </c:pt>
                <c:pt idx="16">
                  <c:v>101098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5-46A1-AE37-5D5ACC99E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987400"/>
        <c:axId val="1223619744"/>
      </c:barChart>
      <c:catAx>
        <c:axId val="122298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9744"/>
        <c:crosses val="autoZero"/>
        <c:auto val="1"/>
        <c:lblAlgn val="ctr"/>
        <c:lblOffset val="100"/>
        <c:noMultiLvlLbl val="0"/>
      </c:catAx>
      <c:valAx>
        <c:axId val="12236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8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Data.xlsx]Category wise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wise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Pivot Table'!$B$4:$B$7</c:f>
              <c:numCache>
                <c:formatCode>General</c:formatCode>
                <c:ptCount val="3"/>
                <c:pt idx="0">
                  <c:v>83769193</c:v>
                </c:pt>
                <c:pt idx="1">
                  <c:v>24278682</c:v>
                </c:pt>
                <c:pt idx="2">
                  <c:v>51570327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C-4D67-8EFE-AF3F91F81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458104"/>
        <c:axId val="1331456304"/>
      </c:barChart>
      <c:catAx>
        <c:axId val="133145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6304"/>
        <c:crosses val="autoZero"/>
        <c:auto val="1"/>
        <c:lblAlgn val="ctr"/>
        <c:lblOffset val="100"/>
        <c:noMultiLvlLbl val="0"/>
      </c:catAx>
      <c:valAx>
        <c:axId val="133145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8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41910</xdr:rowOff>
    </xdr:from>
    <xdr:to>
      <xdr:col>11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CC330-9048-DFC9-261C-FAAF8233C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0</xdr:rowOff>
    </xdr:from>
    <xdr:to>
      <xdr:col>13</xdr:col>
      <xdr:colOff>571500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F5F72-AC5C-9066-B39A-EDDFB1B0D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15</xdr:row>
      <xdr:rowOff>45720</xdr:rowOff>
    </xdr:from>
    <xdr:to>
      <xdr:col>11</xdr:col>
      <xdr:colOff>381000</xdr:colOff>
      <xdr:row>30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5693E-C230-8913-3FD4-3B46679E9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45720</xdr:rowOff>
    </xdr:from>
    <xdr:to>
      <xdr:col>11</xdr:col>
      <xdr:colOff>571500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CCAEF-5074-C084-F178-091D5A9DE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13</xdr:row>
      <xdr:rowOff>30480</xdr:rowOff>
    </xdr:from>
    <xdr:to>
      <xdr:col>5</xdr:col>
      <xdr:colOff>259080</xdr:colOff>
      <xdr:row>28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DC476-A7CE-427F-B624-87B995B98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13</xdr:row>
      <xdr:rowOff>53340</xdr:rowOff>
    </xdr:from>
    <xdr:to>
      <xdr:col>11</xdr:col>
      <xdr:colOff>243840</xdr:colOff>
      <xdr:row>28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A0609-F820-4236-9DB3-BE792B074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579120</xdr:colOff>
      <xdr:row>28</xdr:row>
      <xdr:rowOff>60960</xdr:rowOff>
    </xdr:from>
    <xdr:to>
      <xdr:col>5</xdr:col>
      <xdr:colOff>251460</xdr:colOff>
      <xdr:row>43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C7F5FE-A764-4CBC-B6FB-FAC22CB56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617220</xdr:colOff>
      <xdr:row>43</xdr:row>
      <xdr:rowOff>114300</xdr:rowOff>
    </xdr:from>
    <xdr:to>
      <xdr:col>5</xdr:col>
      <xdr:colOff>289560</xdr:colOff>
      <xdr:row>58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9902CD-D8FE-4FA0-B1A8-856242F85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457200</xdr:colOff>
      <xdr:row>28</xdr:row>
      <xdr:rowOff>106680</xdr:rowOff>
    </xdr:from>
    <xdr:to>
      <xdr:col>11</xdr:col>
      <xdr:colOff>274320</xdr:colOff>
      <xdr:row>43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FC2877-C027-4118-90BC-278D9F6ED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4</xdr:row>
      <xdr:rowOff>68580</xdr:rowOff>
    </xdr:from>
    <xdr:to>
      <xdr:col>15</xdr:col>
      <xdr:colOff>464820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57246-67AA-9154-9447-33B596325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h yadav" refreshedDate="46315.486771180556" createdVersion="8" refreshedVersion="8" minRefreshableVersion="3" recordCount="1230" xr:uid="{2B8A2E48-8BCC-431B-B52A-D3B4B62CEBAF}">
  <cacheSource type="worksheet">
    <worksheetSource name="Sales_Data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Month &amp; Year Order" numFmtId="14">
      <sharedItems containsSemiMixedTypes="0" containsNonDate="0" containsDate="1" containsString="0" minDate="2015-01-01T00:00:00" maxDate="2018-12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453" maxValue="99207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Copiers"/>
        <s v="Supplies"/>
      </sharedItems>
    </cacheField>
    <cacheField name="Product Name" numFmtId="0">
      <sharedItems/>
    </cacheField>
    <cacheField name="Sales" numFmtId="0">
      <sharedItems containsSemiMixedTypes="0" containsString="0" containsNumber="1" containsInteger="1" minValue="6" maxValue="11199968"/>
    </cacheField>
    <cacheField name="Months (Order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1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0">
  <r>
    <s v="CA-2017-152156"/>
    <x v="0"/>
    <d v="2017-11-11T00:00:00"/>
    <d v="2017-11-0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96"/>
  </r>
  <r>
    <s v="CA-2017-138688"/>
    <x v="1"/>
    <d v="2017-06-16T00:00:00"/>
    <d v="2017-06-01T00:00:00"/>
    <s v="Second Class"/>
    <s v="DV-13045"/>
    <s v="Darrin Van Huff"/>
    <x v="1"/>
    <s v="United States"/>
    <s v="Los Angeles"/>
    <s v="California"/>
    <n v="90036"/>
    <x v="1"/>
    <s v="OFF-LA-10000240"/>
    <x v="1"/>
    <x v="1"/>
    <s v="Self-Adhesive Address Labels for Typewriters by Universal"/>
    <n v="1462"/>
  </r>
  <r>
    <s v="US-2016-108966"/>
    <x v="2"/>
    <d v="2016-10-18T00:00:00"/>
    <d v="2016-10-01T00:00:00"/>
    <s v="Standard Class"/>
    <s v="SO-20335"/>
    <s v="Sean O'Donnell"/>
    <x v="0"/>
    <s v="United States"/>
    <s v="Fort Lauderdale"/>
    <s v="Florida"/>
    <n v="33311"/>
    <x v="0"/>
    <s v="FUR-TA-10000577"/>
    <x v="0"/>
    <x v="2"/>
    <s v="Bretford CR4500 Series Slim Rectangular Table"/>
    <n v="9575775"/>
  </r>
  <r>
    <s v="CA-2015-115812"/>
    <x v="3"/>
    <d v="2015-06-14T00:00:00"/>
    <d v="2015-06-01T00:00:00"/>
    <s v="Standard Class"/>
    <s v="BH-11710"/>
    <s v="Brosina Hoffman"/>
    <x v="0"/>
    <s v="United States"/>
    <s v="Los Angeles"/>
    <s v="California"/>
    <n v="90032"/>
    <x v="1"/>
    <s v="FUR-FU-10001487"/>
    <x v="0"/>
    <x v="3"/>
    <s v="Eldon Expressions Wood and Plastic Desk Accessories, Cherry Wood"/>
    <n v="4886"/>
  </r>
  <r>
    <s v="CA-2018-114412"/>
    <x v="4"/>
    <d v="2018-04-20T00:00:00"/>
    <d v="2018-04-01T00:00:00"/>
    <s v="Standard Class"/>
    <s v="AA-10480"/>
    <s v="Andrew Allen"/>
    <x v="0"/>
    <s v="United States"/>
    <s v="Concord"/>
    <s v="North Carolina"/>
    <n v="28027"/>
    <x v="0"/>
    <s v="OFF-PA-10002365"/>
    <x v="1"/>
    <x v="4"/>
    <s v="Xerox 1967"/>
    <n v="15552"/>
  </r>
  <r>
    <s v="CA-2017-161389"/>
    <x v="5"/>
    <d v="2017-12-10T00:00:00"/>
    <d v="2017-12-01T00:00:00"/>
    <s v="Standard Class"/>
    <s v="IM-15070"/>
    <s v="Irene Maddox"/>
    <x v="0"/>
    <s v="United States"/>
    <s v="Seattle"/>
    <s v="Washington"/>
    <n v="98103"/>
    <x v="1"/>
    <s v="OFF-BI-10003656"/>
    <x v="1"/>
    <x v="5"/>
    <s v="Fellowes PB200 Plastic Comb Binding Machine"/>
    <n v="407976"/>
  </r>
  <r>
    <s v="US-2016-118983"/>
    <x v="6"/>
    <d v="2016-11-26T00:00:00"/>
    <d v="2016-11-01T00:00:00"/>
    <s v="Standard Class"/>
    <s v="HP-14815"/>
    <s v="Harold Pawlan"/>
    <x v="2"/>
    <s v="United States"/>
    <s v="Fort Worth"/>
    <s v="Texas"/>
    <n v="76106"/>
    <x v="2"/>
    <s v="OFF-AP-10002311"/>
    <x v="1"/>
    <x v="6"/>
    <s v="Holmes Replacement Filter for HEPA Air Cleaner, Very Large Room, HEPA Filter"/>
    <n v="6881"/>
  </r>
  <r>
    <s v="CA-2015-105893"/>
    <x v="7"/>
    <d v="2015-11-18T00:00:00"/>
    <d v="2015-11-01T00:00:00"/>
    <s v="Standard Class"/>
    <s v="PK-19075"/>
    <s v="Pete Kriz"/>
    <x v="0"/>
    <s v="United States"/>
    <s v="Madison"/>
    <s v="Wisconsin"/>
    <n v="53711"/>
    <x v="2"/>
    <s v="OFF-ST-10004186"/>
    <x v="1"/>
    <x v="7"/>
    <s v="Stur-D-Stor Shelving, Vertical 5-Shelf: 72&quot;H x 36&quot;W x 18 1/2&quot;D"/>
    <n v="66588"/>
  </r>
  <r>
    <s v="CA-2015-167164"/>
    <x v="8"/>
    <d v="2015-05-15T00:00:00"/>
    <d v="2015-05-01T00:00:00"/>
    <s v="Second Class"/>
    <s v="AG-10270"/>
    <s v="Alejandro Grove"/>
    <x v="0"/>
    <s v="United States"/>
    <s v="West Jordan"/>
    <s v="Utah"/>
    <n v="84084"/>
    <x v="1"/>
    <s v="OFF-ST-10000107"/>
    <x v="1"/>
    <x v="7"/>
    <s v="Fellowes Super Stor/Drawer"/>
    <n v="555"/>
  </r>
  <r>
    <s v="CA-2015-143336"/>
    <x v="9"/>
    <d v="2015-09-01T00:00:00"/>
    <d v="2015-08-01T00:00:00"/>
    <s v="Second Class"/>
    <s v="ZD-21925"/>
    <s v="Zuschuss Donatelli"/>
    <x v="0"/>
    <s v="United States"/>
    <s v="San Francisco"/>
    <s v="California"/>
    <n v="94109"/>
    <x v="1"/>
    <s v="OFF-AR-10003056"/>
    <x v="1"/>
    <x v="8"/>
    <s v="Newell 341"/>
    <n v="856"/>
  </r>
  <r>
    <s v="CA-2017-137330"/>
    <x v="10"/>
    <d v="2017-12-13T00:00:00"/>
    <d v="2017-12-01T00:00:00"/>
    <s v="Standard Class"/>
    <s v="KB-16585"/>
    <s v="Ken Black"/>
    <x v="1"/>
    <s v="United States"/>
    <s v="Fremont"/>
    <s v="Nebraska"/>
    <n v="68025"/>
    <x v="2"/>
    <s v="OFF-AR-10000246"/>
    <x v="1"/>
    <x v="8"/>
    <s v="Newell 318"/>
    <n v="1946"/>
  </r>
  <r>
    <s v="US-2018-156909"/>
    <x v="11"/>
    <d v="2018-07-18T00:00:00"/>
    <d v="2018-07-01T00:00:00"/>
    <s v="Second Class"/>
    <s v="SF-20065"/>
    <s v="Sandra Flanagan"/>
    <x v="0"/>
    <s v="United States"/>
    <s v="Philadelphia"/>
    <s v="Pennsylvania"/>
    <n v="19140"/>
    <x v="3"/>
    <s v="FUR-CH-10002774"/>
    <x v="0"/>
    <x v="9"/>
    <s v="Global Deluxe Stacking Chair, Gray"/>
    <n v="71372"/>
  </r>
  <r>
    <s v="CA-2016-106320"/>
    <x v="12"/>
    <d v="2016-09-30T00:00:00"/>
    <d v="2016-09-01T00:00:00"/>
    <s v="Standard Class"/>
    <s v="EB-13870"/>
    <s v="Emily Burns"/>
    <x v="0"/>
    <s v="United States"/>
    <s v="Orem"/>
    <s v="Utah"/>
    <n v="84057"/>
    <x v="1"/>
    <s v="FUR-TA-10000577"/>
    <x v="0"/>
    <x v="2"/>
    <s v="Bretford CR4500 Series Slim Rectangular Table"/>
    <n v="104463"/>
  </r>
  <r>
    <s v="CA-2017-121755"/>
    <x v="13"/>
    <d v="2017-01-20T00:00:00"/>
    <d v="2017-01-01T00:00:00"/>
    <s v="Second Class"/>
    <s v="EH-13945"/>
    <s v="Eric Hoffmann"/>
    <x v="0"/>
    <s v="United States"/>
    <s v="Los Angeles"/>
    <s v="California"/>
    <n v="90049"/>
    <x v="1"/>
    <s v="OFF-BI-10001634"/>
    <x v="1"/>
    <x v="5"/>
    <s v="Wilson Jones Active Use Binders"/>
    <n v="11648"/>
  </r>
  <r>
    <s v="US-2016-150630"/>
    <x v="14"/>
    <d v="2016-09-21T00:00:00"/>
    <d v="2016-09-0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43"/>
  </r>
  <r>
    <s v="CA-2018-107727"/>
    <x v="15"/>
    <d v="2018-10-23T00:00:00"/>
    <d v="2018-10-01T00:00:00"/>
    <s v="Second Class"/>
    <s v="MA-17560"/>
    <s v="Matt Abelman"/>
    <x v="2"/>
    <s v="United States"/>
    <s v="Houston"/>
    <s v="Texas"/>
    <n v="77095"/>
    <x v="2"/>
    <s v="OFF-PA-10000249"/>
    <x v="1"/>
    <x v="4"/>
    <s v="Easy-staple paper"/>
    <n v="29472"/>
  </r>
  <r>
    <s v="CA-2017-117590"/>
    <x v="16"/>
    <d v="2017-12-10T00:00:00"/>
    <d v="2017-12-01T00:00:00"/>
    <s v="First Class"/>
    <s v="GH-14485"/>
    <s v="Gene Hale"/>
    <x v="1"/>
    <s v="United States"/>
    <s v="Richardson"/>
    <s v="Texas"/>
    <n v="75080"/>
    <x v="2"/>
    <s v="TEC-PH-10004977"/>
    <x v="2"/>
    <x v="10"/>
    <s v="GE 30524EE4"/>
    <n v="1097544"/>
  </r>
  <r>
    <s v="CA-2016-117415"/>
    <x v="17"/>
    <d v="2016-12-31T00:00:00"/>
    <d v="2016-12-01T00:00:00"/>
    <s v="Standard Class"/>
    <s v="SN-20710"/>
    <s v="Steve Nguyen"/>
    <x v="2"/>
    <s v="United States"/>
    <s v="Houston"/>
    <s v="Texas"/>
    <n v="77041"/>
    <x v="2"/>
    <s v="OFF-EN-10002986"/>
    <x v="1"/>
    <x v="11"/>
    <s v="#10-4 1/8&quot; x 9 1/2&quot; Premium Diagonal Seam Envelopes"/>
    <n v="113328"/>
  </r>
  <r>
    <s v="CA-2018-120999"/>
    <x v="18"/>
    <d v="2018-09-15T00:00:00"/>
    <d v="2018-09-01T00:00:00"/>
    <s v="Standard Class"/>
    <s v="LC-16930"/>
    <s v="Linda Cazamias"/>
    <x v="1"/>
    <s v="United States"/>
    <s v="Naperville"/>
    <s v="Illinois"/>
    <n v="60540"/>
    <x v="2"/>
    <s v="TEC-PH-10004093"/>
    <x v="2"/>
    <x v="10"/>
    <s v="Panasonic Kx-TS550"/>
    <n v="147168"/>
  </r>
  <r>
    <s v="CA-2017-101343"/>
    <x v="19"/>
    <d v="2017-07-22T00:00:00"/>
    <d v="2017-07-01T00:00:00"/>
    <s v="Standard Class"/>
    <s v="RA-19885"/>
    <s v="Ruben Ausman"/>
    <x v="1"/>
    <s v="United States"/>
    <s v="Los Angeles"/>
    <s v="California"/>
    <n v="90049"/>
    <x v="1"/>
    <s v="OFF-ST-10003479"/>
    <x v="1"/>
    <x v="7"/>
    <s v="Eldon Base for stackable storage shelf, platinum"/>
    <n v="7788"/>
  </r>
  <r>
    <s v="CA-2018-139619"/>
    <x v="20"/>
    <d v="2018-09-23T00:00:00"/>
    <d v="2018-09-01T00:00:00"/>
    <s v="Standard Class"/>
    <s v="ES-14080"/>
    <s v="Erin Smith"/>
    <x v="1"/>
    <s v="United States"/>
    <s v="Melbourne"/>
    <s v="Florida"/>
    <n v="32935"/>
    <x v="0"/>
    <s v="OFF-ST-10003282"/>
    <x v="1"/>
    <x v="7"/>
    <s v="Advantus 10-Drawer Portable Organizer, Chrome Metal Frame, Smoke Drawers"/>
    <n v="95616"/>
  </r>
  <r>
    <s v="CA-2017-118255"/>
    <x v="21"/>
    <d v="2017-03-13T00:00:00"/>
    <d v="2017-03-01T00:00:00"/>
    <s v="First Class"/>
    <s v="ON-18715"/>
    <s v="Odella Nelson"/>
    <x v="1"/>
    <s v="United States"/>
    <s v="Eagan"/>
    <s v="Minnesota"/>
    <n v="55122"/>
    <x v="2"/>
    <s v="TEC-AC-10000171"/>
    <x v="2"/>
    <x v="12"/>
    <s v="Verbatim 25 GB 6x Blu-ray Single Layer Recordable Disc, 25/Pack"/>
    <n v="4598"/>
  </r>
  <r>
    <s v="CA-2015-146703"/>
    <x v="22"/>
    <d v="2015-10-25T00:00:00"/>
    <d v="2015-10-01T00:00:00"/>
    <s v="Second Class"/>
    <s v="PO-18865"/>
    <s v="Patrick O'Donnell"/>
    <x v="0"/>
    <s v="United States"/>
    <s v="Westland"/>
    <s v="Michigan"/>
    <n v="48185"/>
    <x v="2"/>
    <s v="OFF-ST-10001713"/>
    <x v="1"/>
    <x v="7"/>
    <s v="Gould Plastics 9-Pocket Panel Bin, 18-3/8w x 5-1/4d x 20-1/2h, Black"/>
    <n v="21196"/>
  </r>
  <r>
    <s v="CA-2017-169194"/>
    <x v="23"/>
    <d v="2017-06-25T00:00:00"/>
    <d v="2017-06-01T00:00:00"/>
    <s v="Standard Class"/>
    <s v="LH-16900"/>
    <s v="Lena Hernandez"/>
    <x v="0"/>
    <s v="United States"/>
    <s v="Dover"/>
    <s v="Delaware"/>
    <n v="19901"/>
    <x v="3"/>
    <s v="TEC-AC-10002167"/>
    <x v="2"/>
    <x v="12"/>
    <s v="Imation 8gb Micro Traveldrive Usb 2.0 Flash Drive"/>
    <n v="45"/>
  </r>
  <r>
    <s v="CA-2016-115742"/>
    <x v="24"/>
    <d v="2016-04-22T00:00:00"/>
    <d v="2016-04-01T00:00:00"/>
    <s v="Standard Class"/>
    <s v="DP-13000"/>
    <s v="Darren Powers"/>
    <x v="0"/>
    <s v="United States"/>
    <s v="New Albany"/>
    <s v="Indiana"/>
    <n v="47150"/>
    <x v="2"/>
    <s v="OFF-BI-10004410"/>
    <x v="1"/>
    <x v="5"/>
    <s v="C-Line Peel &amp; Stick Add-On Filing Pockets, 8-3/4 x 5-1/8, 10/Pack"/>
    <n v="3822"/>
  </r>
  <r>
    <s v="CA-2017-105816"/>
    <x v="25"/>
    <d v="2017-12-17T00:00:00"/>
    <d v="2017-12-01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26"/>
  </r>
  <r>
    <s v="CA-2017-111682"/>
    <x v="26"/>
    <d v="2017-06-18T00:00:00"/>
    <d v="2017-06-01T00:00:00"/>
    <s v="First Class"/>
    <s v="TB-21055"/>
    <s v="Ted Butterfield"/>
    <x v="0"/>
    <s v="United States"/>
    <s v="Troy"/>
    <s v="New York"/>
    <n v="12180"/>
    <x v="3"/>
    <s v="OFF-ST-10000604"/>
    <x v="1"/>
    <x v="7"/>
    <s v="Home/Office Personal File Carts"/>
    <n v="20856"/>
  </r>
  <r>
    <s v="CA-2016-135545"/>
    <x v="27"/>
    <d v="2016-11-30T00:00:00"/>
    <d v="2016-11-01T00:00:00"/>
    <s v="Standard Class"/>
    <s v="KM-16720"/>
    <s v="Kunst Miller"/>
    <x v="0"/>
    <s v="United States"/>
    <s v="Los Angeles"/>
    <s v="California"/>
    <n v="90004"/>
    <x v="1"/>
    <s v="TEC-AC-10004633"/>
    <x v="2"/>
    <x v="12"/>
    <s v="Verbatim 25 GB 6x Blu-ray Single Layer Recordable Disc, 3/Pack"/>
    <n v="1398"/>
  </r>
  <r>
    <s v="US-2016-164175"/>
    <x v="28"/>
    <d v="2016-05-05T00:00:00"/>
    <d v="2016-04-01T00:00:00"/>
    <s v="Standard Class"/>
    <s v="PS-18970"/>
    <s v="Paul Stevenson"/>
    <x v="2"/>
    <s v="United States"/>
    <s v="Chicago"/>
    <s v="Illinois"/>
    <n v="60610"/>
    <x v="2"/>
    <s v="FUR-CH-10001146"/>
    <x v="0"/>
    <x v="9"/>
    <s v="Global Value Mid-Back Manager's Chair, Gray"/>
    <n v="213115"/>
  </r>
  <r>
    <s v="CA-2015-106376"/>
    <x v="29"/>
    <d v="2015-12-10T00:00:00"/>
    <d v="2015-12-01T00:00:00"/>
    <s v="Standard Class"/>
    <s v="BS-11590"/>
    <s v="Brendan Sweed"/>
    <x v="1"/>
    <s v="United States"/>
    <s v="Gilbert"/>
    <s v="Arizona"/>
    <n v="85234"/>
    <x v="1"/>
    <s v="OFF-AR-10002671"/>
    <x v="1"/>
    <x v="8"/>
    <s v="Hunt BOSTON Model 1606 High-Volume Electric Pencil Sharpener, Beige"/>
    <n v="1113024"/>
  </r>
  <r>
    <s v="CA-2017-119823"/>
    <x v="30"/>
    <d v="2017-06-06T00:00:00"/>
    <d v="2017-06-01T00:00:00"/>
    <s v="First Class"/>
    <s v="KD-16270"/>
    <s v="Karen Daniels"/>
    <x v="0"/>
    <s v="United States"/>
    <s v="Springfield"/>
    <s v="Virginia"/>
    <n v="22153"/>
    <x v="0"/>
    <s v="OFF-PA-10000482"/>
    <x v="1"/>
    <x v="4"/>
    <s v="Snap-A-Way Black Print Carbonless Ruled Speed Letter, Triplicate"/>
    <n v="7588"/>
  </r>
  <r>
    <s v="CA-2017-106075"/>
    <x v="31"/>
    <d v="2017-09-23T00:00:00"/>
    <d v="2017-09-01T00:00:00"/>
    <s v="Standard Class"/>
    <s v="HM-14980"/>
    <s v="Henry MacAllister"/>
    <x v="0"/>
    <s v="United States"/>
    <s v="New York City"/>
    <s v="New York"/>
    <n v="10009"/>
    <x v="3"/>
    <s v="OFF-BI-10004654"/>
    <x v="1"/>
    <x v="5"/>
    <s v="Avery Binding System Hidden Tab Executive Style Index Sets"/>
    <n v="4616"/>
  </r>
  <r>
    <s v="CA-2018-114440"/>
    <x v="32"/>
    <d v="2018-09-17T00:00:00"/>
    <d v="2018-09-01T00:00:00"/>
    <s v="Second Class"/>
    <s v="TB-21520"/>
    <s v="Tracy Blumstein"/>
    <x v="0"/>
    <s v="United States"/>
    <s v="Jackson"/>
    <s v="Michigan"/>
    <n v="49201"/>
    <x v="2"/>
    <s v="OFF-PA-10004675"/>
    <x v="1"/>
    <x v="4"/>
    <s v="Telephone Message Books with Fax/Mobile Section, 5 1/2&quot; x 3 3/16&quot;"/>
    <n v="1905"/>
  </r>
  <r>
    <s v="US-2016-134026"/>
    <x v="33"/>
    <d v="2016-05-02T00:00:00"/>
    <d v="2016-04-01T00:00:00"/>
    <s v="Standard Class"/>
    <s v="JE-15745"/>
    <s v="Joel Eaton"/>
    <x v="0"/>
    <s v="United States"/>
    <s v="Memphis"/>
    <s v="Tennessee"/>
    <n v="38109"/>
    <x v="0"/>
    <s v="FUR-CH-10000513"/>
    <x v="0"/>
    <x v="9"/>
    <s v="High-Back Leather Manager's Chair"/>
    <n v="831936"/>
  </r>
  <r>
    <s v="US-2018-118038"/>
    <x v="34"/>
    <d v="2018-12-11T00:00:00"/>
    <d v="2018-12-01T00:00:00"/>
    <s v="First Class"/>
    <s v="KB-16600"/>
    <s v="Ken Brennan"/>
    <x v="1"/>
    <s v="United States"/>
    <s v="Houston"/>
    <s v="Texas"/>
    <n v="77041"/>
    <x v="2"/>
    <s v="OFF-BI-10004182"/>
    <x v="1"/>
    <x v="5"/>
    <s v="Economy Binders"/>
    <n v="1248"/>
  </r>
  <r>
    <s v="US-2015-147606"/>
    <x v="35"/>
    <d v="2015-12-01T00:00:00"/>
    <d v="2015-11-01T00:00:00"/>
    <s v="Second Class"/>
    <s v="JE-15745"/>
    <s v="Joel Eaton"/>
    <x v="0"/>
    <s v="United States"/>
    <s v="Houston"/>
    <s v="Texas"/>
    <n v="77070"/>
    <x v="2"/>
    <s v="FUR-FU-10003194"/>
    <x v="0"/>
    <x v="3"/>
    <s v="Eldon Expressions Desk Accessory, Wood Pencil Holder, Oak"/>
    <n v="193"/>
  </r>
  <r>
    <s v="CA-2015-139451"/>
    <x v="36"/>
    <d v="2015-10-16T00:00:00"/>
    <d v="2015-10-01T00:00:00"/>
    <s v="Standard Class"/>
    <s v="DN-13690"/>
    <s v="Duane Noonan"/>
    <x v="0"/>
    <s v="United States"/>
    <s v="San Francisco"/>
    <s v="California"/>
    <n v="94122"/>
    <x v="1"/>
    <s v="OFF-AR-10002053"/>
    <x v="1"/>
    <x v="8"/>
    <s v="Premium Writing Pencils, Soft, #2 by Central Association for the Blind"/>
    <n v="149"/>
  </r>
  <r>
    <s v="CA-2016-149734"/>
    <x v="37"/>
    <d v="2016-09-08T00:00:00"/>
    <d v="2016-09-01T00:00:00"/>
    <s v="Standard Class"/>
    <s v="JC-16105"/>
    <s v="Julie Creighton"/>
    <x v="1"/>
    <s v="United States"/>
    <s v="Durham"/>
    <s v="North Carolina"/>
    <n v="27707"/>
    <x v="0"/>
    <s v="OFF-EN-10000927"/>
    <x v="1"/>
    <x v="11"/>
    <s v="Jet-Pak Recycled Peel 'N' Seal Padded Mailers"/>
    <n v="200984"/>
  </r>
  <r>
    <s v="US-2018-119662"/>
    <x v="38"/>
    <d v="2018-11-16T00:00:00"/>
    <d v="2018-11-01T00:00:00"/>
    <s v="First Class"/>
    <s v="CS-12400"/>
    <s v="Christopher Schild"/>
    <x v="2"/>
    <s v="United States"/>
    <s v="Chicago"/>
    <s v="Illinois"/>
    <n v="60623"/>
    <x v="2"/>
    <s v="OFF-ST-10003656"/>
    <x v="1"/>
    <x v="7"/>
    <s v="Safco Industrial Wire Shelving"/>
    <n v="230376"/>
  </r>
  <r>
    <s v="CA-2018-140088"/>
    <x v="39"/>
    <d v="2018-05-30T00:00:00"/>
    <d v="2018-05-01T00:00:00"/>
    <s v="Second Class"/>
    <s v="PO-18865"/>
    <s v="Patrick O'Donnell"/>
    <x v="0"/>
    <s v="United States"/>
    <s v="Columbia"/>
    <s v="South Carolina"/>
    <n v="29203"/>
    <x v="0"/>
    <s v="FUR-CH-10000863"/>
    <x v="0"/>
    <x v="9"/>
    <s v="Novimex Swivel Fabric Task Chair"/>
    <n v="30196"/>
  </r>
  <r>
    <s v="CA-2018-155558"/>
    <x v="40"/>
    <d v="2018-11-02T00:00:00"/>
    <d v="2018-10-01T00:00:00"/>
    <s v="Standard Class"/>
    <s v="PG-18895"/>
    <s v="Paul Gonzalez"/>
    <x v="0"/>
    <s v="United States"/>
    <s v="Rochester"/>
    <s v="Minnesota"/>
    <n v="55901"/>
    <x v="2"/>
    <s v="TEC-AC-10001998"/>
    <x v="2"/>
    <x v="12"/>
    <s v="Logitech LS21 Speaker System - PC Multimedia - 2.1-CH - Wired"/>
    <n v="1999"/>
  </r>
  <r>
    <s v="CA-2017-159695"/>
    <x v="41"/>
    <d v="2017-04-10T00:00:00"/>
    <d v="2017-04-01T00:00:00"/>
    <s v="Second Class"/>
    <s v="GM-14455"/>
    <s v="Gary Mitchum"/>
    <x v="2"/>
    <s v="United States"/>
    <s v="Houston"/>
    <s v="Texas"/>
    <n v="77095"/>
    <x v="2"/>
    <s v="OFF-ST-10003442"/>
    <x v="1"/>
    <x v="7"/>
    <s v="Eldon Portable Mobile Manager"/>
    <n v="158368"/>
  </r>
  <r>
    <s v="CA-2017-109806"/>
    <x v="42"/>
    <d v="2017-09-22T00:00:00"/>
    <d v="2017-09-01T00:00:00"/>
    <s v="Standard Class"/>
    <s v="JS-15685"/>
    <s v="Jim Sink"/>
    <x v="1"/>
    <s v="United States"/>
    <s v="Los Angeles"/>
    <s v="California"/>
    <n v="90036"/>
    <x v="1"/>
    <s v="OFF-AR-10004930"/>
    <x v="1"/>
    <x v="8"/>
    <s v="Turquoise Lead Holder with Pocket Clip"/>
    <n v="201"/>
  </r>
  <r>
    <s v="CA-2016-149587"/>
    <x v="43"/>
    <d v="2016-02-05T00:00:00"/>
    <d v="2016-01-01T00:00:00"/>
    <s v="Second Class"/>
    <s v="KB-16315"/>
    <s v="Karl Braun"/>
    <x v="0"/>
    <s v="United States"/>
    <s v="Minneapolis"/>
    <s v="Minnesota"/>
    <n v="55407"/>
    <x v="2"/>
    <s v="OFF-PA-10003177"/>
    <x v="1"/>
    <x v="4"/>
    <s v="Xerox 1999"/>
    <n v="1296"/>
  </r>
  <r>
    <s v="US-2018-109484"/>
    <x v="44"/>
    <d v="2018-11-12T00:00:00"/>
    <d v="2018-11-01T00:00:00"/>
    <s v="Standard Class"/>
    <s v="RB-19705"/>
    <s v="Roger Barcio"/>
    <x v="2"/>
    <s v="United States"/>
    <s v="Portland"/>
    <s v="Oregon"/>
    <n v="97206"/>
    <x v="1"/>
    <s v="OFF-BI-10004738"/>
    <x v="1"/>
    <x v="5"/>
    <s v="Flexible Leather- Look Classic Collection Ring Binder"/>
    <n v="5682"/>
  </r>
  <r>
    <s v="CA-2018-161018"/>
    <x v="45"/>
    <d v="2018-11-11T00:00:00"/>
    <d v="2018-11-01T00:00:00"/>
    <s v="Second Class"/>
    <s v="PN-18775"/>
    <s v="Parhena Norris"/>
    <x v="2"/>
    <s v="United States"/>
    <s v="New York City"/>
    <s v="New York"/>
    <n v="10009"/>
    <x v="3"/>
    <s v="FUR-FU-10000629"/>
    <x v="0"/>
    <x v="3"/>
    <s v="9-3/4 Diameter Round Wall Clock"/>
    <n v="9653"/>
  </r>
  <r>
    <s v="CA-2018-157833"/>
    <x v="46"/>
    <d v="2018-06-20T00:00:00"/>
    <d v="2018-06-01T00:00:00"/>
    <s v="First Class"/>
    <s v="KD-16345"/>
    <s v="Katherine Ducich"/>
    <x v="0"/>
    <s v="United States"/>
    <s v="San Francisco"/>
    <s v="California"/>
    <n v="94122"/>
    <x v="1"/>
    <s v="OFF-BI-10001721"/>
    <x v="1"/>
    <x v="5"/>
    <s v="Trimflex Flexible Post Binders"/>
    <n v="51312"/>
  </r>
  <r>
    <s v="CA-2017-149223"/>
    <x v="47"/>
    <d v="2017-09-11T00:00:00"/>
    <d v="2017-09-01T00:00:00"/>
    <s v="Standard Class"/>
    <s v="ER-13855"/>
    <s v="Elpida Rittenbach"/>
    <x v="1"/>
    <s v="United States"/>
    <s v="Saint Paul"/>
    <s v="Minnesota"/>
    <n v="55106"/>
    <x v="2"/>
    <s v="OFF-AP-10000358"/>
    <x v="1"/>
    <x v="6"/>
    <s v="Fellowes Basic Home/Office Series Surge Protectors"/>
    <n v="7788"/>
  </r>
  <r>
    <s v="CA-2017-158568"/>
    <x v="48"/>
    <d v="2017-09-02T00:00:00"/>
    <d v="2017-08-01T00:00:00"/>
    <s v="Standard Class"/>
    <s v="RB-19465"/>
    <s v="Rick Bensley"/>
    <x v="2"/>
    <s v="United States"/>
    <s v="Chicago"/>
    <s v="Illinois"/>
    <n v="60610"/>
    <x v="2"/>
    <s v="OFF-PA-10003256"/>
    <x v="1"/>
    <x v="4"/>
    <s v="Avery Personal Creations Heavyweight Cards"/>
    <n v="64624"/>
  </r>
  <r>
    <s v="CA-2017-129903"/>
    <x v="49"/>
    <d v="2017-12-04T00:00:00"/>
    <d v="2017-12-01T00:00:00"/>
    <s v="Second Class"/>
    <s v="GZ-14470"/>
    <s v="Gary Zandusky"/>
    <x v="0"/>
    <s v="United States"/>
    <s v="Rochester"/>
    <s v="Minnesota"/>
    <n v="55901"/>
    <x v="2"/>
    <s v="OFF-PA-10004040"/>
    <x v="1"/>
    <x v="4"/>
    <s v="Universal Premium White Copier/Laser Paper (20Lb. and 87 Bright)"/>
    <n v="2392"/>
  </r>
  <r>
    <s v="US-2016-156867"/>
    <x v="50"/>
    <d v="2016-11-17T00:00:00"/>
    <d v="2016-11-01T00:00:00"/>
    <s v="Standard Class"/>
    <s v="LC-16870"/>
    <s v="Lena Cacioppo"/>
    <x v="0"/>
    <s v="United States"/>
    <s v="Aurora"/>
    <s v="Colorado"/>
    <n v="80013"/>
    <x v="1"/>
    <s v="TEC-AC-10001552"/>
    <x v="2"/>
    <x v="12"/>
    <s v="Logitech K350 2.4Ghz Wireless Keyboard"/>
    <n v="238896"/>
  </r>
  <r>
    <s v="CA-2018-119004"/>
    <x v="51"/>
    <d v="2018-11-28T00:00:00"/>
    <d v="2018-11-01T00:00:00"/>
    <s v="Standard Class"/>
    <s v="JM-15250"/>
    <s v="Janet Martin"/>
    <x v="0"/>
    <s v="United States"/>
    <s v="Charlotte"/>
    <s v="North Carolina"/>
    <n v="28205"/>
    <x v="0"/>
    <s v="TEC-AC-10003499"/>
    <x v="2"/>
    <x v="12"/>
    <s v="Memorex Mini Travel Drive 8 GB USB 2.0 Flash Drive"/>
    <n v="74112"/>
  </r>
  <r>
    <s v="CA-2016-129476"/>
    <x v="52"/>
    <d v="2016-10-20T00:00:00"/>
    <d v="2016-10-01T00:00:00"/>
    <s v="Standard Class"/>
    <s v="PA-19060"/>
    <s v="Pete Armstrong"/>
    <x v="2"/>
    <s v="United States"/>
    <s v="Orland Park"/>
    <s v="Illinois"/>
    <n v="60462"/>
    <x v="2"/>
    <s v="TEC-AC-10000844"/>
    <x v="2"/>
    <x v="12"/>
    <s v="Logitech Gaming G510s - Keyboard"/>
    <n v="33996"/>
  </r>
  <r>
    <s v="CA-2018-146780"/>
    <x v="53"/>
    <d v="2018-12-30T00:00:00"/>
    <d v="2018-12-01T00:00:00"/>
    <s v="Standard Class"/>
    <s v="CV-12805"/>
    <s v="Cynthia Voltz"/>
    <x v="1"/>
    <s v="United States"/>
    <s v="New York City"/>
    <s v="New York"/>
    <n v="10035"/>
    <x v="3"/>
    <s v="FUR-FU-10001934"/>
    <x v="0"/>
    <x v="3"/>
    <s v="Magnifier Swing Arm Lamp"/>
    <n v="4196"/>
  </r>
  <r>
    <s v="CA-2017-128867"/>
    <x v="54"/>
    <d v="2017-11-10T00:00:00"/>
    <d v="2017-11-01T00:00:00"/>
    <s v="Standard Class"/>
    <s v="CL-12565"/>
    <s v="Clay Ludtke"/>
    <x v="0"/>
    <s v="United States"/>
    <s v="Urbandale"/>
    <s v="Iowa"/>
    <n v="50322"/>
    <x v="2"/>
    <s v="OFF-AR-10000380"/>
    <x v="1"/>
    <x v="8"/>
    <s v="Hunt PowerHouse Electric Pencil Sharpener, Blue"/>
    <n v="7596"/>
  </r>
  <r>
    <s v="CA-2015-115259"/>
    <x v="55"/>
    <d v="2015-08-27T00:00:00"/>
    <d v="2015-08-01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096"/>
  </r>
  <r>
    <s v="CA-2016-110457"/>
    <x v="56"/>
    <d v="2016-03-06T00:00:00"/>
    <d v="2016-03-01T00:00:00"/>
    <s v="Standard Class"/>
    <s v="DK-13090"/>
    <s v="Dave Kipp"/>
    <x v="0"/>
    <s v="United States"/>
    <s v="Seattle"/>
    <s v="Washington"/>
    <n v="98103"/>
    <x v="1"/>
    <s v="FUR-TA-10001768"/>
    <x v="0"/>
    <x v="2"/>
    <s v="Hon Racetrack Conference Tables"/>
    <n v="78753"/>
  </r>
  <r>
    <s v="US-2016-136476"/>
    <x v="57"/>
    <d v="2016-04-10T00:00:00"/>
    <d v="2016-04-01T00:00:00"/>
    <s v="Standard Class"/>
    <s v="GG-14650"/>
    <s v="Greg Guthrie"/>
    <x v="1"/>
    <s v="United States"/>
    <s v="Bristol"/>
    <s v="Tennessee"/>
    <n v="37620"/>
    <x v="0"/>
    <s v="OFF-BI-10003650"/>
    <x v="1"/>
    <x v="5"/>
    <s v="GBC DocuBind 300 Electric Binding Machine"/>
    <n v="157794"/>
  </r>
  <r>
    <s v="US-2015-152030"/>
    <x v="58"/>
    <d v="2015-12-28T00:00:00"/>
    <d v="2015-12-01T00:00:00"/>
    <s v="Second Class"/>
    <s v="AD-10180"/>
    <s v="Alan Dominguez"/>
    <x v="2"/>
    <s v="United States"/>
    <s v="Houston"/>
    <s v="Texas"/>
    <n v="77041"/>
    <x v="2"/>
    <s v="FUR-CH-10004063"/>
    <x v="0"/>
    <x v="9"/>
    <s v="Global Deluxe High-Back Manager's Chair"/>
    <n v="600558"/>
  </r>
  <r>
    <s v="US-2015-134614"/>
    <x v="59"/>
    <d v="2015-09-25T00:00:00"/>
    <d v="2015-09-01T00:00:00"/>
    <s v="Standard Class"/>
    <s v="PF-19165"/>
    <s v="Philip Fox"/>
    <x v="0"/>
    <s v="United States"/>
    <s v="Bloomington"/>
    <s v="Illinois"/>
    <n v="61701"/>
    <x v="2"/>
    <s v="FUR-TA-10004534"/>
    <x v="0"/>
    <x v="2"/>
    <s v="Bevis 44 x 96 Conference Tables"/>
    <n v="6177"/>
  </r>
  <r>
    <s v="US-2018-107272"/>
    <x v="60"/>
    <d v="2018-11-12T00:00:00"/>
    <d v="2018-11-01T00:00:00"/>
    <s v="Standard Class"/>
    <s v="TS-21610"/>
    <s v="Troy Staebel"/>
    <x v="0"/>
    <s v="United States"/>
    <s v="Phoenix"/>
    <s v="Arizona"/>
    <n v="85023"/>
    <x v="1"/>
    <s v="OFF-BI-10003274"/>
    <x v="1"/>
    <x v="5"/>
    <s v="Avery Durable Slant Ring Binders, No Labels"/>
    <n v="2388"/>
  </r>
  <r>
    <s v="US-2017-125969"/>
    <x v="61"/>
    <d v="2017-11-10T00:00:00"/>
    <d v="2017-11-01T00:00:00"/>
    <s v="Second Class"/>
    <s v="LS-16975"/>
    <s v="Lindsay Shagiari"/>
    <x v="2"/>
    <s v="United States"/>
    <s v="Los Angeles"/>
    <s v="California"/>
    <n v="90004"/>
    <x v="1"/>
    <s v="FUR-CH-10001146"/>
    <x v="0"/>
    <x v="9"/>
    <s v="Global Task Chair, Black"/>
    <n v="81424"/>
  </r>
  <r>
    <s v="US-2018-164147"/>
    <x v="62"/>
    <d v="2018-02-05T00:00:00"/>
    <d v="2018-02-01T00:00:00"/>
    <s v="First Class"/>
    <s v="DW-13585"/>
    <s v="Dorothy Wardle"/>
    <x v="1"/>
    <s v="United States"/>
    <s v="Columbus"/>
    <s v="Ohio"/>
    <n v="43229"/>
    <x v="3"/>
    <s v="TEC-PH-10002293"/>
    <x v="2"/>
    <x v="10"/>
    <s v="Anker 36W 4-Port USB Wall Charger Travel Power Adapter for iPhone 5s 5c 5"/>
    <n v="5997"/>
  </r>
  <r>
    <s v="CA-2017-145583"/>
    <x v="63"/>
    <d v="2017-10-19T00:00:00"/>
    <d v="2017-10-01T00:00:00"/>
    <s v="Standard Class"/>
    <s v="LC-16885"/>
    <s v="Lena Creighton"/>
    <x v="0"/>
    <s v="United States"/>
    <s v="Roseville"/>
    <s v="California"/>
    <n v="95661"/>
    <x v="1"/>
    <s v="OFF-PA-10001804"/>
    <x v="1"/>
    <x v="4"/>
    <s v="Xerox 195"/>
    <n v="2004"/>
  </r>
  <r>
    <s v="CA-2017-110366"/>
    <x v="64"/>
    <d v="2017-09-07T00:00:00"/>
    <d v="2017-09-01T00:00:00"/>
    <s v="Second Class"/>
    <s v="JD-15895"/>
    <s v="Jonathan Doherty"/>
    <x v="1"/>
    <s v="United States"/>
    <s v="Philadelphia"/>
    <s v="Pennsylvania"/>
    <n v="19140"/>
    <x v="3"/>
    <s v="FUR-FU-10004848"/>
    <x v="0"/>
    <x v="3"/>
    <s v="Howard Miller 13-3/4&quot; Diameter Brushed Chrome Round Wall Clock"/>
    <n v="828"/>
  </r>
  <r>
    <s v="CA-2018-106180"/>
    <x v="65"/>
    <d v="2018-09-23T00:00:00"/>
    <d v="2018-09-01T00:00:00"/>
    <s v="Standard Class"/>
    <s v="SH-19975"/>
    <s v="Sally Hughsby"/>
    <x v="1"/>
    <s v="United States"/>
    <s v="San Francisco"/>
    <s v="California"/>
    <n v="94122"/>
    <x v="1"/>
    <s v="OFF-AR-10000940"/>
    <x v="1"/>
    <x v="8"/>
    <s v="Newell 343"/>
    <n v="882"/>
  </r>
  <r>
    <s v="CA-2018-155376"/>
    <x v="66"/>
    <d v="2018-12-27T00:00:00"/>
    <d v="2018-12-01T00:00:00"/>
    <s v="Standard Class"/>
    <s v="SG-20080"/>
    <s v="Sandra Glassco"/>
    <x v="0"/>
    <s v="United States"/>
    <s v="Independence"/>
    <s v="Missouri"/>
    <n v="64055"/>
    <x v="2"/>
    <s v="OFF-AP-10001058"/>
    <x v="1"/>
    <x v="6"/>
    <s v="Sanyo 2.5 Cubic Foot Mid-Size Office Refrigerators"/>
    <n v="83943"/>
  </r>
  <r>
    <s v="CA-2016-110744"/>
    <x v="67"/>
    <d v="2016-09-12T00:00:00"/>
    <d v="2016-09-01T00:00:00"/>
    <s v="Standard Class"/>
    <s v="HA-14920"/>
    <s v="Helen Andreada"/>
    <x v="0"/>
    <s v="United States"/>
    <s v="Pasadena"/>
    <s v="California"/>
    <n v="91104"/>
    <x v="1"/>
    <s v="OFF-ST-10003656"/>
    <x v="1"/>
    <x v="7"/>
    <s v="Safco Industrial Wire Shelving"/>
    <n v="67193"/>
  </r>
  <r>
    <s v="CA-2015-110072"/>
    <x v="68"/>
    <d v="2015-10-28T00:00:00"/>
    <d v="2015-10-01T00:00:00"/>
    <s v="Standard Class"/>
    <s v="MG-17680"/>
    <s v="Maureen Gastineau"/>
    <x v="2"/>
    <s v="United States"/>
    <s v="Newark"/>
    <s v="Ohio"/>
    <n v="43055"/>
    <x v="3"/>
    <s v="FUR-FU-10000521"/>
    <x v="0"/>
    <x v="3"/>
    <s v="Seth Thomas 14&quot; Putty-Colored Wall Clock"/>
    <n v="93888"/>
  </r>
  <r>
    <s v="CA-2017-158834"/>
    <x v="69"/>
    <d v="2017-03-16T00:00:00"/>
    <d v="2017-03-01T00:00:00"/>
    <s v="First Class"/>
    <s v="TW-21025"/>
    <s v="Tamara Willingham"/>
    <x v="2"/>
    <s v="United States"/>
    <s v="Scottsdale"/>
    <s v="Arizona"/>
    <n v="85254"/>
    <x v="1"/>
    <s v="OFF-AP-10000326"/>
    <x v="1"/>
    <x v="6"/>
    <s v="Belkin 7 Outlet SurgeMaster Surge Protector with Phone Protection"/>
    <n v="15792"/>
  </r>
  <r>
    <s v="CA-2016-124919"/>
    <x v="70"/>
    <d v="2016-06-02T00:00:00"/>
    <d v="2016-05-01T00:00:00"/>
    <s v="First Class"/>
    <s v="SP-20650"/>
    <s v="Stephanie Phelps"/>
    <x v="1"/>
    <s v="United States"/>
    <s v="San Jose"/>
    <s v="California"/>
    <n v="95123"/>
    <x v="1"/>
    <s v="OFF-PA-10001950"/>
    <x v="1"/>
    <x v="4"/>
    <s v="Southworth 25% Cotton Antique Laid Paper &amp; Envelopes"/>
    <n v="5838"/>
  </r>
  <r>
    <s v="CA-2016-118948"/>
    <x v="71"/>
    <d v="2016-06-03T00:00:00"/>
    <d v="2016-05-01T00:00:00"/>
    <s v="Standard Class"/>
    <s v="NK-18490"/>
    <s v="Neil Knudson"/>
    <x v="2"/>
    <s v="United States"/>
    <s v="Seattle"/>
    <s v="Washington"/>
    <n v="98105"/>
    <x v="1"/>
    <s v="OFF-AR-10001547"/>
    <x v="1"/>
    <x v="8"/>
    <s v="Newell 311"/>
    <n v="663"/>
  </r>
  <r>
    <s v="CA-2015-104269"/>
    <x v="72"/>
    <d v="2015-03-06T00:00:00"/>
    <d v="2015-03-01T00:00:00"/>
    <s v="Second Class"/>
    <s v="DB-13060"/>
    <s v="Dave Brooks"/>
    <x v="0"/>
    <s v="United States"/>
    <s v="Seattle"/>
    <s v="Washington"/>
    <n v="98115"/>
    <x v="1"/>
    <s v="FUR-CH-10004063"/>
    <x v="0"/>
    <x v="9"/>
    <s v="Global Deluxe High-Back Manager's Chair"/>
    <n v="457568"/>
  </r>
  <r>
    <s v="CA-2017-114104"/>
    <x v="73"/>
    <d v="2017-11-24T00:00:00"/>
    <d v="2017-11-01T00:00:00"/>
    <s v="Standard Class"/>
    <s v="NP-18670"/>
    <s v="Nora Paige"/>
    <x v="0"/>
    <s v="United States"/>
    <s v="Edmond"/>
    <s v="Oklahoma"/>
    <n v="73034"/>
    <x v="2"/>
    <s v="OFF-LA-10002475"/>
    <x v="1"/>
    <x v="1"/>
    <s v="Avery 519"/>
    <n v="1462"/>
  </r>
  <r>
    <s v="CA-2017-162733"/>
    <x v="74"/>
    <d v="2017-05-12T00:00:00"/>
    <d v="2017-05-01T00:00:00"/>
    <s v="First Class"/>
    <s v="TT-21070"/>
    <s v="Ted Trevino"/>
    <x v="0"/>
    <s v="United States"/>
    <s v="Los Angeles"/>
    <s v="California"/>
    <n v="90045"/>
    <x v="1"/>
    <s v="OFF-PA-10002751"/>
    <x v="1"/>
    <x v="4"/>
    <s v="Xerox 1920"/>
    <n v="598"/>
  </r>
  <r>
    <s v="CA-2016-119697"/>
    <x v="75"/>
    <d v="2016-12-31T00:00:00"/>
    <d v="2016-12-01T00:00:00"/>
    <s v="Second Class"/>
    <s v="EM-13960"/>
    <s v="Eric Murdock"/>
    <x v="0"/>
    <s v="United States"/>
    <s v="Philadelphia"/>
    <s v="Pennsylvania"/>
    <n v="19134"/>
    <x v="3"/>
    <s v="TEC-AC-10003657"/>
    <x v="2"/>
    <x v="12"/>
    <s v="Lenovo 17-Key USB Numeric Keypad"/>
    <n v="54384"/>
  </r>
  <r>
    <s v="CA-2017-154508"/>
    <x v="76"/>
    <d v="2017-11-20T00:00:00"/>
    <d v="2017-11-01T00:00:00"/>
    <s v="Standard Class"/>
    <s v="RD-19900"/>
    <s v="Ruben Dartt"/>
    <x v="0"/>
    <s v="United States"/>
    <s v="Carlsbad"/>
    <s v="New Mexico"/>
    <n v="88220"/>
    <x v="1"/>
    <s v="OFF-EN-10001990"/>
    <x v="1"/>
    <x v="11"/>
    <s v="Staple envelope"/>
    <n v="284"/>
  </r>
  <r>
    <s v="CA-2017-113817"/>
    <x v="77"/>
    <d v="2017-11-11T00:00:00"/>
    <d v="2017-11-01T00:00:00"/>
    <s v="Standard Class"/>
    <s v="MJ-17740"/>
    <s v="Max Jones"/>
    <x v="0"/>
    <s v="United States"/>
    <s v="Seattle"/>
    <s v="Washington"/>
    <n v="98115"/>
    <x v="1"/>
    <s v="OFF-BI-10004002"/>
    <x v="1"/>
    <x v="5"/>
    <s v="Wilson Jones International Size A4 Ring Binders"/>
    <n v="2768"/>
  </r>
  <r>
    <s v="CA-2015-139892"/>
    <x v="78"/>
    <d v="2015-09-12T00:00:00"/>
    <d v="2015-09-01T00:00:00"/>
    <s v="Standard Class"/>
    <s v="BM-11140"/>
    <s v="Becky Martin"/>
    <x v="0"/>
    <s v="United States"/>
    <s v="San Antonio"/>
    <s v="Texas"/>
    <n v="78207"/>
    <x v="2"/>
    <s v="OFF-AR-10004441"/>
    <x v="1"/>
    <x v="8"/>
    <s v="BIC Brite Liner Highlighters"/>
    <n v="9936"/>
  </r>
  <r>
    <s v="CA-2015-118962"/>
    <x v="79"/>
    <d v="2015-08-09T00:00:00"/>
    <d v="2015-08-01T00:00:00"/>
    <s v="Standard Class"/>
    <s v="CS-12130"/>
    <s v="Chad Sievert"/>
    <x v="0"/>
    <s v="United States"/>
    <s v="Los Angeles"/>
    <s v="California"/>
    <n v="90004"/>
    <x v="1"/>
    <s v="OFF-PA-10000659"/>
    <x v="1"/>
    <x v="4"/>
    <s v="Adams Phone Message Book, Professional, 400 Message Capacity, 5 3/6” x 11”"/>
    <n v="2094"/>
  </r>
  <r>
    <s v="US-2015-100853"/>
    <x v="80"/>
    <d v="2015-09-19T00:00:00"/>
    <d v="2015-09-01T00:00:00"/>
    <s v="Standard Class"/>
    <s v="JB-15400"/>
    <s v="Jennifer Braxton"/>
    <x v="1"/>
    <s v="United States"/>
    <s v="Chicago"/>
    <s v="Illinois"/>
    <n v="60623"/>
    <x v="2"/>
    <s v="OFF-AP-10000891"/>
    <x v="1"/>
    <x v="6"/>
    <s v="Kensington 7 Outlet MasterPiece HOMEOFFICE Power Control Center"/>
    <n v="52448"/>
  </r>
  <r>
    <s v="US-2018-152366"/>
    <x v="81"/>
    <d v="2018-04-25T00:00:00"/>
    <d v="2018-04-01T00:00:00"/>
    <s v="Second Class"/>
    <s v="SJ-20500"/>
    <s v="Shirley Jackson"/>
    <x v="0"/>
    <s v="United States"/>
    <s v="Houston"/>
    <s v="Texas"/>
    <n v="77036"/>
    <x v="2"/>
    <s v="OFF-AP-10002684"/>
    <x v="1"/>
    <x v="6"/>
    <s v="Acco 7-Outlet Masterpiece Power Center, Wihtout Fax/Phone Line Protection"/>
    <n v="97264"/>
  </r>
  <r>
    <s v="US-2016-101511"/>
    <x v="82"/>
    <d v="2016-11-23T00:00:00"/>
    <d v="2016-11-01T00:00:00"/>
    <s v="Second Class"/>
    <s v="JE-15745"/>
    <s v="Joel Eaton"/>
    <x v="0"/>
    <s v="United States"/>
    <s v="Newark"/>
    <s v="Ohio"/>
    <n v="43055"/>
    <x v="3"/>
    <s v="FUR-CH-10004698"/>
    <x v="0"/>
    <x v="9"/>
    <s v="Padded Folding Chairs, Black, 4/Carton"/>
    <n v="396802"/>
  </r>
  <r>
    <s v="CA-2016-137225"/>
    <x v="83"/>
    <d v="2016-12-19T00:00:00"/>
    <d v="2016-12-01T00:00:00"/>
    <s v="Standard Class"/>
    <s v="JK-15640"/>
    <s v="Jim Kriz"/>
    <x v="2"/>
    <s v="United States"/>
    <s v="New York City"/>
    <s v="New York"/>
    <n v="10009"/>
    <x v="3"/>
    <s v="OFF-AR-10001940"/>
    <x v="1"/>
    <x v="8"/>
    <s v="Sanford Colorific Eraseable Coloring Pencils, 12 Count"/>
    <n v="328"/>
  </r>
  <r>
    <s v="CA-2015-158274"/>
    <x v="84"/>
    <d v="2015-11-24T00:00:00"/>
    <d v="2015-11-01T00:00:00"/>
    <s v="Second Class"/>
    <s v="RM-19675"/>
    <s v="Robert Marley"/>
    <x v="2"/>
    <s v="United States"/>
    <s v="Monroe"/>
    <s v="Louisiana"/>
    <n v="71203"/>
    <x v="0"/>
    <s v="TEC-PH-10003273"/>
    <x v="2"/>
    <x v="10"/>
    <s v="AT&amp;T TR1909W"/>
    <n v="50396"/>
  </r>
  <r>
    <s v="CA-2017-105018"/>
    <x v="85"/>
    <d v="2017-12-02T00:00:00"/>
    <d v="2017-11-01T00:00:00"/>
    <s v="Standard Class"/>
    <s v="SK-19990"/>
    <s v="Sally Knutson"/>
    <x v="0"/>
    <s v="United States"/>
    <s v="Fairfield"/>
    <s v="Connecticut"/>
    <n v="6824"/>
    <x v="3"/>
    <s v="OFF-BI-10001890"/>
    <x v="1"/>
    <x v="5"/>
    <s v="Avery Poly Binder Pockets"/>
    <n v="716"/>
  </r>
  <r>
    <s v="CA-2015-123260"/>
    <x v="86"/>
    <d v="2015-08-30T00:00:00"/>
    <d v="2015-08-01T00:00:00"/>
    <s v="Standard Class"/>
    <s v="FM-14290"/>
    <s v="Frank Merwin"/>
    <x v="2"/>
    <s v="United States"/>
    <s v="Los Angeles"/>
    <s v="California"/>
    <n v="90032"/>
    <x v="1"/>
    <s v="TEC-AC-10002323"/>
    <x v="2"/>
    <x v="12"/>
    <s v="SanDisk Ultra 32 GB MicroSDHC Class 10 Memory Card"/>
    <n v="1768"/>
  </r>
  <r>
    <s v="CA-2017-157000"/>
    <x v="87"/>
    <d v="2017-07-22T00:00:00"/>
    <d v="2017-07-01T00:00:00"/>
    <s v="Standard Class"/>
    <s v="AM-10360"/>
    <s v="Alice McCarthy"/>
    <x v="1"/>
    <s v="United States"/>
    <s v="Grand Prairie"/>
    <s v="Texas"/>
    <n v="75051"/>
    <x v="2"/>
    <s v="OFF-ST-10001328"/>
    <x v="1"/>
    <x v="7"/>
    <s v="Personal Filing Tote with Lid, Black/Gray"/>
    <n v="37224"/>
  </r>
  <r>
    <s v="CA-2016-102281"/>
    <x v="88"/>
    <d v="2016-10-14T00:00:00"/>
    <d v="2016-10-01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136"/>
  </r>
  <r>
    <s v="CA-2016-131457"/>
    <x v="89"/>
    <d v="2016-11-06T00:00:00"/>
    <d v="2016-10-01T00:00:00"/>
    <s v="Standard Class"/>
    <s v="MZ-17515"/>
    <s v="Mary Zewe"/>
    <x v="1"/>
    <s v="United States"/>
    <s v="Redlands"/>
    <s v="California"/>
    <n v="92374"/>
    <x v="1"/>
    <s v="OFF-EN-10001509"/>
    <x v="1"/>
    <x v="11"/>
    <s v="Poly String Tie Envelopes"/>
    <n v="1428"/>
  </r>
  <r>
    <s v="CA-2015-140004"/>
    <x v="90"/>
    <d v="2015-03-25T00:00:00"/>
    <d v="2015-03-01T00:00:00"/>
    <s v="Standard Class"/>
    <s v="CB-12025"/>
    <s v="Cassandra Brandow"/>
    <x v="0"/>
    <s v="United States"/>
    <s v="Hamilton"/>
    <s v="Ohio"/>
    <n v="45011"/>
    <x v="3"/>
    <s v="OFF-AR-10004685"/>
    <x v="1"/>
    <x v="8"/>
    <s v="Binney &amp; Smith Crayola Metallic Colored Pencils, 8-Color Set"/>
    <n v="7408"/>
  </r>
  <r>
    <s v="US-2018-124303"/>
    <x v="91"/>
    <d v="2018-07-13T00:00:00"/>
    <d v="2018-07-01T00:00:00"/>
    <s v="Standard Class"/>
    <s v="FH-14365"/>
    <s v="Fred Hopkins"/>
    <x v="1"/>
    <s v="United States"/>
    <s v="Philadelphia"/>
    <s v="Pennsylvania"/>
    <n v="19120"/>
    <x v="3"/>
    <s v="OFF-BI-10000343"/>
    <x v="1"/>
    <x v="5"/>
    <s v="Pressboard Covers with Storage Hooks, 9 1/2&quot; x 11&quot;, Light Blue"/>
    <n v="2946"/>
  </r>
  <r>
    <s v="CA-2018-105074"/>
    <x v="92"/>
    <d v="2018-06-29T00:00:00"/>
    <d v="2018-06-01T00:00:00"/>
    <s v="Standard Class"/>
    <s v="MB-17305"/>
    <s v="Maria Bertelson"/>
    <x v="0"/>
    <s v="United States"/>
    <s v="Akron"/>
    <s v="Ohio"/>
    <n v="44312"/>
    <x v="3"/>
    <s v="OFF-PA-10002666"/>
    <x v="1"/>
    <x v="4"/>
    <s v="Southworth 25% Cotton Linen-Finish Paper &amp; Envelopes"/>
    <n v="21744"/>
  </r>
  <r>
    <s v="CA-2015-133690"/>
    <x v="93"/>
    <d v="2015-08-05T00:00:00"/>
    <d v="2015-08-01T00:00:00"/>
    <s v="First Class"/>
    <s v="BS-11755"/>
    <s v="Bruce Stewart"/>
    <x v="0"/>
    <s v="United States"/>
    <s v="Denver"/>
    <s v="Colorado"/>
    <n v="80219"/>
    <x v="1"/>
    <s v="FUR-TA-10004289"/>
    <x v="0"/>
    <x v="2"/>
    <s v="BoxOffice By Design Rectangular and Half-Moon Meeting Room Tables"/>
    <n v="21875"/>
  </r>
  <r>
    <s v="US-2018-116701"/>
    <x v="94"/>
    <d v="2018-12-21T00:00:00"/>
    <d v="2018-12-01T00:00:00"/>
    <s v="Second Class"/>
    <s v="LC-17140"/>
    <s v="Logan Currie"/>
    <x v="0"/>
    <s v="United States"/>
    <s v="Dallas"/>
    <s v="Texas"/>
    <n v="75220"/>
    <x v="2"/>
    <s v="OFF-AP-10003217"/>
    <x v="1"/>
    <x v="6"/>
    <s v="Eureka Sanitaire  Commercial Upright"/>
    <n v="66284"/>
  </r>
  <r>
    <s v="CA-2018-126382"/>
    <x v="95"/>
    <d v="2018-06-07T00:00:00"/>
    <d v="2018-06-01T00:00:00"/>
    <s v="Standard Class"/>
    <s v="HK-14890"/>
    <s v="Heather Kirkland"/>
    <x v="1"/>
    <s v="United States"/>
    <s v="Franklin"/>
    <s v="Tennessee"/>
    <n v="37064"/>
    <x v="0"/>
    <s v="FUR-FU-10002960"/>
    <x v="0"/>
    <x v="3"/>
    <s v="Eldon 200 Class Desk Accessories, Burgundy"/>
    <n v="35168"/>
  </r>
  <r>
    <s v="CA-2018-135860"/>
    <x v="96"/>
    <d v="2018-12-07T00:00:00"/>
    <d v="2018-12-01T00:00:00"/>
    <s v="Standard Class"/>
    <s v="JH-15985"/>
    <s v="Joseph Holt"/>
    <x v="0"/>
    <s v="United States"/>
    <s v="Saginaw"/>
    <s v="Michigan"/>
    <n v="48601"/>
    <x v="2"/>
    <s v="OFF-ST-10000642"/>
    <x v="1"/>
    <x v="7"/>
    <s v="Tennsco Lockers, Gray"/>
    <n v="8392"/>
  </r>
  <r>
    <s v="CA-2016-101007"/>
    <x v="97"/>
    <d v="2016-02-13T00:00:00"/>
    <d v="2016-02-01T00:00:00"/>
    <s v="Second Class"/>
    <s v="MS-17980"/>
    <s v="Michael Stewart"/>
    <x v="1"/>
    <s v="United States"/>
    <s v="Dallas"/>
    <s v="Texas"/>
    <n v="75220"/>
    <x v="2"/>
    <s v="TEC-AC-10001266"/>
    <x v="2"/>
    <x v="12"/>
    <s v="Memorex Micro Travel Drive 8 GB"/>
    <n v="208"/>
  </r>
  <r>
    <s v="CA-2016-146262"/>
    <x v="98"/>
    <d v="2016-01-09T00:00:00"/>
    <d v="2016-01-01T00:00:00"/>
    <s v="Standard Class"/>
    <s v="VW-21775"/>
    <s v="Victoria Wilson"/>
    <x v="1"/>
    <s v="United States"/>
    <s v="Medina"/>
    <s v="Ohio"/>
    <n v="44256"/>
    <x v="3"/>
    <s v="OFF-LA-10004544"/>
    <x v="1"/>
    <x v="1"/>
    <s v="Avery 505"/>
    <n v="2368"/>
  </r>
  <r>
    <s v="CA-2017-130162"/>
    <x v="99"/>
    <d v="2017-11-01T00:00:00"/>
    <d v="2017-10-01T00:00:00"/>
    <s v="Standard Class"/>
    <s v="JH-15910"/>
    <s v="Jonathan Howell"/>
    <x v="0"/>
    <s v="United States"/>
    <s v="Los Angeles"/>
    <s v="California"/>
    <n v="90032"/>
    <x v="1"/>
    <s v="OFF-ST-10001328"/>
    <x v="1"/>
    <x v="7"/>
    <s v="Personal Filing Tote with Lid, Black/Gray"/>
    <n v="9306"/>
  </r>
  <r>
    <s v="CA-2016-169397"/>
    <x v="100"/>
    <d v="2016-12-27T00:00:00"/>
    <d v="2016-12-01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584"/>
  </r>
  <r>
    <s v="CA-2016-163055"/>
    <x v="101"/>
    <d v="2016-08-16T00:00:00"/>
    <d v="2016-08-01T00:00:00"/>
    <s v="Standard Class"/>
    <s v="DS-13180"/>
    <s v="David Smith"/>
    <x v="1"/>
    <s v="United States"/>
    <s v="Detroit"/>
    <s v="Michigan"/>
    <n v="48227"/>
    <x v="2"/>
    <s v="OFF-AR-10001026"/>
    <x v="1"/>
    <x v="8"/>
    <s v="Sanford Uni-Blazer View Highlighters, Chisel Tip, Yellow"/>
    <n v="22"/>
  </r>
  <r>
    <s v="US-2016-145436"/>
    <x v="102"/>
    <d v="2016-03-04T00:00:00"/>
    <d v="2016-02-01T00:00:00"/>
    <s v="Standard Class"/>
    <s v="VD-21670"/>
    <s v="Valerie Dominguez"/>
    <x v="0"/>
    <s v="United States"/>
    <s v="Columbia"/>
    <s v="Tennessee"/>
    <n v="38401"/>
    <x v="0"/>
    <s v="FUR-CH-10004860"/>
    <x v="0"/>
    <x v="9"/>
    <s v="Global Low Back Tilter Chair"/>
    <n v="161568"/>
  </r>
  <r>
    <s v="US-2015-156216"/>
    <x v="103"/>
    <d v="2015-09-17T00:00:00"/>
    <d v="2015-09-01T00:00:00"/>
    <s v="Standard Class"/>
    <s v="EA-14035"/>
    <s v="Erin Ashbrook"/>
    <x v="1"/>
    <s v="United States"/>
    <s v="Charlotte"/>
    <s v="North Carolina"/>
    <n v="28205"/>
    <x v="0"/>
    <s v="OFF-BI-10001679"/>
    <x v="1"/>
    <x v="5"/>
    <s v="GBC Instant Index System for Binding Systems"/>
    <n v="18648"/>
  </r>
  <r>
    <s v="US-2018-100930"/>
    <x v="104"/>
    <d v="2018-04-12T00:00:00"/>
    <d v="2018-04-01T00:00:00"/>
    <s v="Standard Class"/>
    <s v="CS-12400"/>
    <s v="Christopher Schild"/>
    <x v="2"/>
    <s v="United States"/>
    <s v="Tampa"/>
    <s v="Florida"/>
    <n v="33614"/>
    <x v="0"/>
    <s v="FUR-TA-10001705"/>
    <x v="0"/>
    <x v="2"/>
    <s v="Bush Advantage Collection Round Conference Table"/>
    <n v="23386"/>
  </r>
  <r>
    <s v="CA-2018-160514"/>
    <x v="105"/>
    <d v="2018-11-16T00:00:00"/>
    <d v="2018-11-01T00:00:00"/>
    <s v="Standard Class"/>
    <s v="DB-13120"/>
    <s v="David Bremer"/>
    <x v="1"/>
    <s v="United States"/>
    <s v="Santa Clara"/>
    <s v="California"/>
    <n v="95051"/>
    <x v="1"/>
    <s v="OFF-PA-10002479"/>
    <x v="1"/>
    <x v="4"/>
    <s v="Xerox 4200 Series MultiUse Premium Copy Paper (20Lb. and 84 Bright)"/>
    <n v="1056"/>
  </r>
  <r>
    <s v="CA-2015-131926"/>
    <x v="106"/>
    <d v="2015-06-06T00:00:00"/>
    <d v="2015-06-01T00:00:00"/>
    <s v="Second Class"/>
    <s v="DW-13480"/>
    <s v="Dianna Wilson"/>
    <x v="2"/>
    <s v="United States"/>
    <s v="Lakeville"/>
    <s v="Minnesota"/>
    <n v="55044"/>
    <x v="2"/>
    <s v="FUR-CH-10004063"/>
    <x v="0"/>
    <x v="9"/>
    <s v="Global Deluxe High-Back Manager's Chair"/>
    <n v="200186"/>
  </r>
  <r>
    <s v="CA-2017-154739"/>
    <x v="107"/>
    <d v="2017-12-15T00:00:00"/>
    <d v="2017-12-01T00:00:00"/>
    <s v="Second Class"/>
    <s v="LH-17155"/>
    <s v="Logan Haushalter"/>
    <x v="0"/>
    <s v="United States"/>
    <s v="San Francisco"/>
    <s v="California"/>
    <n v="94109"/>
    <x v="1"/>
    <s v="FUR-CH-10002965"/>
    <x v="0"/>
    <x v="9"/>
    <s v="Global Leather Highback Executive Chair with Pneumatic Height Adjustment, Black"/>
    <n v="321568"/>
  </r>
  <r>
    <s v="CA-2017-145625"/>
    <x v="108"/>
    <d v="2017-09-17T00:00:00"/>
    <d v="2017-09-01T00:00:00"/>
    <s v="Standard Class"/>
    <s v="KC-16540"/>
    <s v="Kelly Collister"/>
    <x v="0"/>
    <s v="United States"/>
    <s v="San Diego"/>
    <s v="California"/>
    <n v="92037"/>
    <x v="1"/>
    <s v="OFF-PA-10004569"/>
    <x v="1"/>
    <x v="4"/>
    <s v="Wirebound Message Books, Two 4 1/4&quot; x 5&quot; Forms per Page"/>
    <n v="761"/>
  </r>
  <r>
    <s v="US-2016-159982"/>
    <x v="109"/>
    <d v="2016-12-04T00:00:00"/>
    <d v="2016-11-01T00:00:00"/>
    <s v="Standard Class"/>
    <s v="DR-12880"/>
    <s v="Dan Reichenbach"/>
    <x v="1"/>
    <s v="United States"/>
    <s v="Chicago"/>
    <s v="Illinois"/>
    <n v="60623"/>
    <x v="2"/>
    <s v="FUR-FU-10002505"/>
    <x v="0"/>
    <x v="3"/>
    <s v="Eldon 100 Class Desk Accessories"/>
    <n v="12132"/>
  </r>
  <r>
    <s v="US-2018-155299"/>
    <x v="110"/>
    <d v="2018-06-12T00:00:00"/>
    <d v="2018-06-01T00:00:00"/>
    <s v="Standard Class"/>
    <s v="Dl-13600"/>
    <s v="Dorris liebe"/>
    <x v="1"/>
    <s v="United States"/>
    <s v="Pasadena"/>
    <s v="Texas"/>
    <n v="77506"/>
    <x v="2"/>
    <s v="OFF-AP-10002203"/>
    <x v="1"/>
    <x v="6"/>
    <s v="Eureka Disposable Bags for Sanitaire Vibra Groomer I Upright Vac"/>
    <n v="1624"/>
  </r>
  <r>
    <s v="US-2015-106992"/>
    <x v="111"/>
    <d v="2015-09-21T00:00:00"/>
    <d v="2015-09-01T00:00:00"/>
    <s v="Second Class"/>
    <s v="SB-20290"/>
    <s v="Sean Braxton"/>
    <x v="1"/>
    <s v="United States"/>
    <s v="Houston"/>
    <s v="Texas"/>
    <n v="77036"/>
    <x v="2"/>
    <s v="TEC-MA-10000822"/>
    <x v="2"/>
    <x v="14"/>
    <s v="Lexmark MX611dhe Monochrome Laser Printer"/>
    <n v="3059982"/>
  </r>
  <r>
    <s v="CA-2017-125318"/>
    <x v="112"/>
    <d v="2017-06-13T00:00:00"/>
    <d v="2017-06-01T00:00:00"/>
    <s v="Standard Class"/>
    <s v="RC-19825"/>
    <s v="Roy Collins"/>
    <x v="0"/>
    <s v="United States"/>
    <s v="Chicago"/>
    <s v="Illinois"/>
    <n v="60610"/>
    <x v="2"/>
    <s v="TEC-PH-10001433"/>
    <x v="2"/>
    <x v="10"/>
    <s v="Cisco Small Business SPA 502G VoIP phone"/>
    <n v="328224"/>
  </r>
  <r>
    <s v="CA-2016-155040"/>
    <x v="113"/>
    <d v="2016-11-15T00:00:00"/>
    <d v="2016-11-01T00:00:00"/>
    <s v="Standard Class"/>
    <s v="AH-10210"/>
    <s v="Alan Hwang"/>
    <x v="0"/>
    <s v="United States"/>
    <s v="Brentwood"/>
    <s v="California"/>
    <n v="94513"/>
    <x v="1"/>
    <s v="TEC-AC-10004469"/>
    <x v="2"/>
    <x v="12"/>
    <s v="Microsoft Sculpt Comfort Mouse"/>
    <n v="799"/>
  </r>
  <r>
    <s v="CA-2018-136826"/>
    <x v="114"/>
    <d v="2018-06-20T00:00:00"/>
    <d v="2018-06-01T00:00:00"/>
    <s v="Standard Class"/>
    <s v="CB-12535"/>
    <s v="Claudia Bergmann"/>
    <x v="1"/>
    <s v="United States"/>
    <s v="Chapel Hill"/>
    <s v="North Carolina"/>
    <n v="27514"/>
    <x v="0"/>
    <s v="OFF-AR-10003602"/>
    <x v="1"/>
    <x v="8"/>
    <s v="Quartet Omega Colored Chalk, 12/Pack"/>
    <n v="14016"/>
  </r>
  <r>
    <s v="CA-2017-111010"/>
    <x v="115"/>
    <d v="2017-01-28T00:00:00"/>
    <d v="2017-01-01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56"/>
  </r>
  <r>
    <s v="CA-2018-163979"/>
    <x v="116"/>
    <d v="2019-01-02T00:00:00"/>
    <d v="2018-12-01T00:00:00"/>
    <s v="Second Class"/>
    <s v="KH-16690"/>
    <s v="Kristen Hastings"/>
    <x v="1"/>
    <s v="United States"/>
    <s v="San Francisco"/>
    <s v="California"/>
    <n v="94110"/>
    <x v="1"/>
    <s v="OFF-ST-10003208"/>
    <x v="1"/>
    <x v="7"/>
    <s v="Adjustable Depth Letter/Legal Cart"/>
    <n v="72584"/>
  </r>
  <r>
    <s v="CA-2016-155334"/>
    <x v="117"/>
    <d v="2016-07-31T00:00:00"/>
    <d v="2016-07-01T00:00:00"/>
    <s v="First Class"/>
    <s v="HA-14920"/>
    <s v="Helen Andreada"/>
    <x v="0"/>
    <s v="United States"/>
    <s v="San Francisco"/>
    <s v="California"/>
    <n v="94109"/>
    <x v="1"/>
    <s v="TEC-AC-10003628"/>
    <x v="2"/>
    <x v="12"/>
    <s v="Logitech 910-002974 M325 Wireless Mouse for Web Scrolling"/>
    <n v="20993"/>
  </r>
  <r>
    <s v="CA-2018-118136"/>
    <x v="118"/>
    <d v="2018-09-17T00:00:00"/>
    <d v="2018-09-01T00:00:00"/>
    <s v="First Class"/>
    <s v="BB-10990"/>
    <s v="Barry Blumstein"/>
    <x v="1"/>
    <s v="United States"/>
    <s v="Inglewood"/>
    <s v="California"/>
    <n v="90301"/>
    <x v="1"/>
    <s v="OFF-PA-10002615"/>
    <x v="1"/>
    <x v="4"/>
    <s v="Ampad Gold Fibre Wirebound Steno Books, 6&quot; x 9&quot;, Gregg Ruled"/>
    <n v="882"/>
  </r>
  <r>
    <s v="CA-2018-132976"/>
    <x v="119"/>
    <d v="2018-10-17T00:00:00"/>
    <d v="2018-10-01T00:00:00"/>
    <s v="Standard Class"/>
    <s v="AG-10495"/>
    <s v="Andrew Gjertsen"/>
    <x v="1"/>
    <s v="United States"/>
    <s v="Philadelphia"/>
    <s v="Pennsylvania"/>
    <n v="19140"/>
    <x v="3"/>
    <s v="OFF-PA-10000673"/>
    <x v="1"/>
    <x v="4"/>
    <s v="Post-it “Important Message” Note Pad, Neon Colors, 50 Sheets/Pad"/>
    <n v="11648"/>
  </r>
  <r>
    <s v="US-2016-161991"/>
    <x v="120"/>
    <d v="2016-09-28T00:00:00"/>
    <d v="2016-09-01T00:00:00"/>
    <s v="Second Class"/>
    <s v="SC-20725"/>
    <s v="Steven Cartwright"/>
    <x v="0"/>
    <s v="United States"/>
    <s v="Houston"/>
    <s v="Texas"/>
    <n v="77070"/>
    <x v="2"/>
    <s v="OFF-BI-10004967"/>
    <x v="1"/>
    <x v="5"/>
    <s v="Round Ring Binders"/>
    <n v="208"/>
  </r>
  <r>
    <s v="CA-2016-130890"/>
    <x v="121"/>
    <d v="2016-11-06T00:00:00"/>
    <d v="2016-11-01T00:00:00"/>
    <s v="Standard Class"/>
    <s v="JO-15280"/>
    <s v="Jas O'Carroll"/>
    <x v="0"/>
    <s v="United States"/>
    <s v="Los Angeles"/>
    <s v="California"/>
    <n v="90004"/>
    <x v="1"/>
    <s v="FUR-TA-10002903"/>
    <x v="0"/>
    <x v="2"/>
    <s v="Bevis Round Bullnose 29&quot; High Table Top"/>
    <n v="103884"/>
  </r>
  <r>
    <s v="CA-2017-112697"/>
    <x v="122"/>
    <d v="2017-12-20T00:00:00"/>
    <d v="2017-12-01T00:00:00"/>
    <s v="Second Class"/>
    <s v="AH-10195"/>
    <s v="Alan Haines"/>
    <x v="1"/>
    <s v="United States"/>
    <s v="Tamarac"/>
    <s v="Florida"/>
    <n v="33319"/>
    <x v="0"/>
    <s v="OFF-BI-10000778"/>
    <x v="1"/>
    <x v="5"/>
    <s v="GBC VeloBinder Electric Binding Machine"/>
    <n v="254058"/>
  </r>
  <r>
    <s v="US-2018-152380"/>
    <x v="123"/>
    <d v="2018-11-23T00:00:00"/>
    <d v="2018-11-01T00:00:00"/>
    <s v="Standard Class"/>
    <s v="JH-15910"/>
    <s v="Jonathan Howell"/>
    <x v="0"/>
    <s v="United States"/>
    <s v="Chicago"/>
    <s v="Illinois"/>
    <n v="60623"/>
    <x v="2"/>
    <s v="FUR-TA-10002533"/>
    <x v="0"/>
    <x v="2"/>
    <s v="BPI Conference Tables"/>
    <n v="219075"/>
  </r>
  <r>
    <s v="CA-2016-144253"/>
    <x v="124"/>
    <d v="2016-05-09T00:00:00"/>
    <d v="2016-05-01T00:00:00"/>
    <s v="Second Class"/>
    <s v="AS-10225"/>
    <s v="Alan Schoenberger"/>
    <x v="1"/>
    <s v="United States"/>
    <s v="New York City"/>
    <s v="New York"/>
    <n v="10024"/>
    <x v="3"/>
    <s v="FUR-FU-10002671"/>
    <x v="0"/>
    <x v="3"/>
    <s v="Electrix 20W Halogen Replacement Bulb for Zoom-In Desk Lamp"/>
    <n v="268"/>
  </r>
  <r>
    <s v="CA-2015-130960"/>
    <x v="125"/>
    <d v="2016-01-04T00:00:00"/>
    <d v="2015-12-01T00:00:00"/>
    <s v="Standard Class"/>
    <s v="KB-16600"/>
    <s v="Ken Brennan"/>
    <x v="1"/>
    <s v="United States"/>
    <s v="Taylor"/>
    <s v="Michigan"/>
    <n v="48180"/>
    <x v="2"/>
    <s v="OFF-AR-10003651"/>
    <x v="1"/>
    <x v="8"/>
    <s v="Newell 350"/>
    <n v="984"/>
  </r>
  <r>
    <s v="CA-2017-142902"/>
    <x v="126"/>
    <d v="2017-09-14T00:00:00"/>
    <d v="2017-09-01T00:00:00"/>
    <s v="Second Class"/>
    <s v="BP-11185"/>
    <s v="Ben Peterman"/>
    <x v="1"/>
    <s v="United States"/>
    <s v="Arvada"/>
    <s v="Colorado"/>
    <n v="80004"/>
    <x v="1"/>
    <s v="FUR-FU-10001918"/>
    <x v="0"/>
    <x v="3"/>
    <s v="C-Line Cubicle Keepers Polyproplyene Holder With Velcro Backings"/>
    <n v="15136"/>
  </r>
  <r>
    <s v="CA-2015-120887"/>
    <x v="127"/>
    <d v="2015-10-03T00:00:00"/>
    <d v="2015-09-01T00:00:00"/>
    <s v="Standard Class"/>
    <s v="TS-21205"/>
    <s v="Thomas Seio"/>
    <x v="1"/>
    <s v="United States"/>
    <s v="Hackensack"/>
    <s v="New Jersey"/>
    <n v="7601"/>
    <x v="3"/>
    <s v="FUR-FU-10001588"/>
    <x v="0"/>
    <x v="3"/>
    <s v="Deflect-o SuperTray Unbreakable Stackable Tray, Letter, Black"/>
    <n v="8754"/>
  </r>
  <r>
    <s v="CA-2015-167850"/>
    <x v="128"/>
    <d v="2015-08-16T00:00:00"/>
    <d v="2015-08-01T00:00:00"/>
    <s v="Standard Class"/>
    <s v="AG-10525"/>
    <s v="Andy Gerbode"/>
    <x v="1"/>
    <s v="United States"/>
    <s v="Saint Petersburg"/>
    <s v="Florida"/>
    <n v="33710"/>
    <x v="0"/>
    <s v="TEC-PH-10002398"/>
    <x v="2"/>
    <x v="10"/>
    <s v="AT&amp;T 1070 Corded Phone"/>
    <n v="178384"/>
  </r>
  <r>
    <s v="CA-2015-164259"/>
    <x v="129"/>
    <d v="2015-12-30T00:00:00"/>
    <d v="2015-12-01T00:00:00"/>
    <s v="First Class"/>
    <s v="SP-20860"/>
    <s v="Sung Pak"/>
    <x v="1"/>
    <s v="United States"/>
    <s v="Philadelphia"/>
    <s v="Pennsylvania"/>
    <n v="19143"/>
    <x v="3"/>
    <s v="OFF-AR-10003373"/>
    <x v="1"/>
    <x v="8"/>
    <s v="Boston School Pro Electric Pencil Sharpener, 1670"/>
    <n v="99136"/>
  </r>
  <r>
    <s v="CA-2015-164973"/>
    <x v="130"/>
    <d v="2015-11-09T00:00:00"/>
    <d v="2015-11-01T00:00:00"/>
    <s v="Standard Class"/>
    <s v="NM-18445"/>
    <s v="Nathan Mautz"/>
    <x v="2"/>
    <s v="United States"/>
    <s v="New York City"/>
    <s v="New York"/>
    <n v="10024"/>
    <x v="3"/>
    <s v="FUR-CH-10002602"/>
    <x v="0"/>
    <x v="9"/>
    <s v="DMI Arturo Collection Mission-style Design Wood Chair"/>
    <n v="135882"/>
  </r>
  <r>
    <s v="CA-2017-162138"/>
    <x v="131"/>
    <d v="2017-04-27T00:00:00"/>
    <d v="2017-04-01T00:00:00"/>
    <s v="Standard Class"/>
    <s v="GK-14620"/>
    <s v="Grace Kelly"/>
    <x v="1"/>
    <s v="United States"/>
    <s v="Hesperia"/>
    <s v="California"/>
    <n v="92345"/>
    <x v="1"/>
    <s v="OFF-BI-10004593"/>
    <x v="1"/>
    <x v="5"/>
    <s v="Ibico Laser Imprintable Binding System Covers"/>
    <n v="25152"/>
  </r>
  <r>
    <s v="CA-2018-153339"/>
    <x v="132"/>
    <d v="2018-11-05T00:00:00"/>
    <d v="2018-11-01T00:00:00"/>
    <s v="Second Class"/>
    <s v="DJ-13510"/>
    <s v="Don Jones"/>
    <x v="1"/>
    <s v="United States"/>
    <s v="Murfreesboro"/>
    <s v="Tennessee"/>
    <n v="37130"/>
    <x v="0"/>
    <s v="FUR-FU-10001967"/>
    <x v="0"/>
    <x v="3"/>
    <s v="Telescoping Adjustable Floor Lamp"/>
    <n v="15992"/>
  </r>
  <r>
    <s v="US-2017-141544"/>
    <x v="133"/>
    <d v="2017-09-01T00:00:00"/>
    <d v="2017-08-01T00:00:00"/>
    <s v="First Class"/>
    <s v="PO-18850"/>
    <s v="Patrick O'Brill"/>
    <x v="0"/>
    <s v="United States"/>
    <s v="Philadelphia"/>
    <s v="Pennsylvania"/>
    <n v="19143"/>
    <x v="3"/>
    <s v="TEC-PH-10003645"/>
    <x v="2"/>
    <x v="10"/>
    <s v="Aastra 57i VoIP phone"/>
    <n v="290898"/>
  </r>
  <r>
    <s v="US-2017-150147"/>
    <x v="134"/>
    <d v="2017-04-29T00:00:00"/>
    <d v="2017-04-01T00:00:00"/>
    <s v="Second Class"/>
    <s v="JL-15850"/>
    <s v="John Lucas"/>
    <x v="0"/>
    <s v="United States"/>
    <s v="Philadelphia"/>
    <s v="Pennsylvania"/>
    <n v="19134"/>
    <x v="3"/>
    <s v="TEC-PH-10004614"/>
    <x v="2"/>
    <x v="10"/>
    <s v="AT&amp;T 841000 Phone"/>
    <n v="828"/>
  </r>
  <r>
    <s v="CA-2016-137946"/>
    <x v="135"/>
    <d v="2016-09-04T00:00:00"/>
    <d v="2016-09-01T00:00:00"/>
    <s v="Second Class"/>
    <s v="DB-13615"/>
    <s v="Doug Bickford"/>
    <x v="0"/>
    <s v="United States"/>
    <s v="Los Angeles"/>
    <s v="California"/>
    <n v="90045"/>
    <x v="1"/>
    <s v="OFF-BI-10001922"/>
    <x v="1"/>
    <x v="5"/>
    <s v="Storex Dura Pro Binders"/>
    <n v="4752"/>
  </r>
  <r>
    <s v="CA-2015-129924"/>
    <x v="136"/>
    <d v="2015-07-17T00:00:00"/>
    <d v="2015-07-01T00:00:00"/>
    <s v="Standard Class"/>
    <s v="AC-10420"/>
    <s v="Alyssa Crouse"/>
    <x v="1"/>
    <s v="United States"/>
    <s v="San Francisco"/>
    <s v="California"/>
    <n v="94122"/>
    <x v="1"/>
    <s v="OFF-BI-10003314"/>
    <x v="1"/>
    <x v="5"/>
    <s v="Tuff Stuff Recycled Round Ring Binders"/>
    <n v="7712"/>
  </r>
  <r>
    <s v="CA-2016-128167"/>
    <x v="137"/>
    <d v="2016-06-26T00:00:00"/>
    <d v="2016-06-01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96"/>
  </r>
  <r>
    <s v="CA-2015-122336"/>
    <x v="138"/>
    <d v="2015-04-17T00:00:00"/>
    <d v="2015-04-01T00:00:00"/>
    <s v="Second Class"/>
    <s v="JD-15895"/>
    <s v="Jonathan Doherty"/>
    <x v="1"/>
    <s v="United States"/>
    <s v="Philadelphia"/>
    <s v="Pennsylvania"/>
    <n v="19140"/>
    <x v="3"/>
    <s v="OFF-AR-10000122"/>
    <x v="1"/>
    <x v="8"/>
    <s v="Newell 314"/>
    <n v="17856"/>
  </r>
  <r>
    <s v="US-2016-120712"/>
    <x v="139"/>
    <d v="2016-12-24T00:00:00"/>
    <d v="2016-12-01T00:00:00"/>
    <s v="Standard Class"/>
    <s v="CS-12130"/>
    <s v="Chad Sievert"/>
    <x v="0"/>
    <s v="United States"/>
    <s v="Austin"/>
    <s v="Texas"/>
    <n v="78745"/>
    <x v="2"/>
    <s v="OFF-ST-10000107"/>
    <x v="1"/>
    <x v="7"/>
    <s v="Fellowes Super Stor/Drawer"/>
    <n v="888"/>
  </r>
  <r>
    <s v="CA-2018-169901"/>
    <x v="140"/>
    <d v="2018-06-19T00:00:00"/>
    <d v="2018-06-01T00:00:00"/>
    <s v="Standard Class"/>
    <s v="CC-12550"/>
    <s v="Clay Cheatham"/>
    <x v="0"/>
    <s v="United States"/>
    <s v="San Francisco"/>
    <s v="California"/>
    <n v="94122"/>
    <x v="1"/>
    <s v="TEC-PH-10002293"/>
    <x v="2"/>
    <x v="10"/>
    <s v="Anker 36W 4-Port USB Wall Charger Travel Power Adapter for iPhone 5s 5c 5"/>
    <n v="47976"/>
  </r>
  <r>
    <s v="CA-2018-134306"/>
    <x v="141"/>
    <d v="2018-07-12T00:00:00"/>
    <d v="2018-07-01T00:00:00"/>
    <s v="Standard Class"/>
    <s v="TD-20995"/>
    <s v="Tamara Dahlen"/>
    <x v="0"/>
    <s v="United States"/>
    <s v="Lowell"/>
    <s v="Massachusetts"/>
    <n v="1852"/>
    <x v="3"/>
    <s v="OFF-AR-10004027"/>
    <x v="1"/>
    <x v="8"/>
    <s v="Binney &amp; Smith inkTank Erasable Desk Highlighter, Chisel Tip, Yellow, 12/Box"/>
    <n v="756"/>
  </r>
  <r>
    <s v="CA-2017-129714"/>
    <x v="142"/>
    <d v="2017-09-03T00:00:00"/>
    <d v="2017-09-01T00:00:00"/>
    <s v="First Class"/>
    <s v="AB-10060"/>
    <s v="Adam Bellavance"/>
    <x v="2"/>
    <s v="United States"/>
    <s v="New York City"/>
    <s v="New York"/>
    <n v="10009"/>
    <x v="3"/>
    <s v="TEC-AC-10000290"/>
    <x v="2"/>
    <x v="12"/>
    <s v="Sabrent 4-Port USB 2.0 Hub"/>
    <n v="679"/>
  </r>
  <r>
    <s v="CA-2017-138520"/>
    <x v="143"/>
    <d v="2017-04-13T00:00:00"/>
    <d v="2017-04-01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704"/>
  </r>
  <r>
    <s v="CA-2018-155698"/>
    <x v="144"/>
    <d v="2018-03-11T00:00:00"/>
    <d v="2018-03-01T00:00:00"/>
    <s v="First Class"/>
    <s v="VB-21745"/>
    <s v="Victoria Brennan"/>
    <x v="1"/>
    <s v="United States"/>
    <s v="Columbus"/>
    <s v="Georgia"/>
    <n v="31907"/>
    <x v="0"/>
    <s v="OFF-AP-10001124"/>
    <x v="1"/>
    <x v="6"/>
    <s v="Belkin 8 Outlet SurgeMaster II Gold Surge Protector with Phone Protection"/>
    <n v="64784"/>
  </r>
  <r>
    <s v="CA-2018-144904"/>
    <x v="145"/>
    <d v="2018-10-01T00:00:00"/>
    <d v="2018-09-01T00:00:00"/>
    <s v="Standard Class"/>
    <s v="KW-16435"/>
    <s v="Katrina Willman"/>
    <x v="0"/>
    <s v="United States"/>
    <s v="New York City"/>
    <s v="New York"/>
    <n v="10009"/>
    <x v="3"/>
    <s v="OFF-LA-10001158"/>
    <x v="1"/>
    <x v="1"/>
    <s v="Avery Address/Shipping Labels for Typewriters, 4&quot; x 2&quot;"/>
    <n v="207"/>
  </r>
  <r>
    <s v="CA-2015-123344"/>
    <x v="146"/>
    <d v="2015-09-29T00:00:00"/>
    <d v="2015-09-01T00:00:00"/>
    <s v="Standard Class"/>
    <s v="JD-16060"/>
    <s v="Julia Dunbar"/>
    <x v="0"/>
    <s v="United States"/>
    <s v="San Francisco"/>
    <s v="California"/>
    <n v="94109"/>
    <x v="1"/>
    <s v="OFF-ST-10001713"/>
    <x v="1"/>
    <x v="7"/>
    <s v="Gould Plastics 9-Pocket Panel Bin, 18-3/8w x 5-1/4d x 20-1/2h, Black"/>
    <n v="21196"/>
  </r>
  <r>
    <s v="CA-2017-155516"/>
    <x v="147"/>
    <d v="2017-10-21T00:00:00"/>
    <d v="2017-10-01T00:00:00"/>
    <s v="Same Day"/>
    <s v="MK-17905"/>
    <s v="Michael Kennedy"/>
    <x v="1"/>
    <s v="United States"/>
    <s v="Manchester"/>
    <s v="Connecticut"/>
    <n v="6040"/>
    <x v="3"/>
    <s v="OFF-BI-10002412"/>
    <x v="1"/>
    <x v="5"/>
    <s v="Wilson Jones “Snap” Scratch Pad Binder Tool for Ring Binders"/>
    <n v="232"/>
  </r>
  <r>
    <s v="CA-2018-104745"/>
    <x v="148"/>
    <d v="2018-06-04T00:00:00"/>
    <d v="2018-05-01T00:00:00"/>
    <s v="Standard Class"/>
    <s v="GT-14755"/>
    <s v="Guy Thornton"/>
    <x v="0"/>
    <s v="United States"/>
    <s v="Harlingen"/>
    <s v="Texas"/>
    <n v="78550"/>
    <x v="2"/>
    <s v="OFF-PA-10002036"/>
    <x v="1"/>
    <x v="4"/>
    <s v="Xerox 1930"/>
    <n v="2592"/>
  </r>
  <r>
    <s v="US-2015-119137"/>
    <x v="149"/>
    <d v="2015-07-27T00:00:00"/>
    <d v="2015-07-01T00:00:00"/>
    <s v="Standard Class"/>
    <s v="AG-10900"/>
    <s v="Arthur Gainer"/>
    <x v="0"/>
    <s v="United States"/>
    <s v="Tucson"/>
    <s v="Arizona"/>
    <n v="85705"/>
    <x v="1"/>
    <s v="OFF-BI-10001982"/>
    <x v="1"/>
    <x v="5"/>
    <s v="Wilson Jones Custom Binder Spines &amp; Labels"/>
    <n v="816"/>
  </r>
  <r>
    <s v="US-2017-134656"/>
    <x v="150"/>
    <d v="2017-10-01T00:00:00"/>
    <d v="2017-09-01T00:00:00"/>
    <s v="First Class"/>
    <s v="MM-18280"/>
    <s v="Muhammed MacIntyre"/>
    <x v="1"/>
    <s v="United States"/>
    <s v="Quincy"/>
    <s v="Illinois"/>
    <n v="62301"/>
    <x v="2"/>
    <s v="OFF-PA-10003039"/>
    <x v="1"/>
    <x v="4"/>
    <s v="Xerox 1960"/>
    <n v="99136"/>
  </r>
  <r>
    <s v="US-2018-134481"/>
    <x v="151"/>
    <d v="2018-09-01T00:00:00"/>
    <d v="2018-08-01T00:00:00"/>
    <s v="Standard Class"/>
    <s v="AR-10405"/>
    <s v="Allen Rosenblatt"/>
    <x v="1"/>
    <s v="United States"/>
    <s v="Franklin"/>
    <s v="Massachusetts"/>
    <n v="2038"/>
    <x v="3"/>
    <s v="FUR-TA-10004915"/>
    <x v="0"/>
    <x v="2"/>
    <s v="Office Impressions End Table, 20-1/2&quot;H x 24&quot;W x 20&quot;D"/>
    <n v="1488424"/>
  </r>
  <r>
    <s v="CA-2016-130792"/>
    <x v="152"/>
    <d v="2016-05-05T00:00:00"/>
    <d v="2016-04-01T00:00:00"/>
    <s v="Standard Class"/>
    <s v="RA-19915"/>
    <s v="Russell Applegate"/>
    <x v="0"/>
    <s v="United States"/>
    <s v="Houston"/>
    <s v="Texas"/>
    <n v="77095"/>
    <x v="2"/>
    <s v="OFF-AP-10000696"/>
    <x v="1"/>
    <x v="6"/>
    <s v="Holmes Odor Grabber"/>
    <n v="8652"/>
  </r>
  <r>
    <s v="CA-2016-125395"/>
    <x v="153"/>
    <d v="2016-06-29T00:00:00"/>
    <d v="2016-06-01T00:00:00"/>
    <s v="Second Class"/>
    <s v="LA-16780"/>
    <s v="Laura Armstrong"/>
    <x v="1"/>
    <s v="United States"/>
    <s v="Taylor"/>
    <s v="Michigan"/>
    <n v="48180"/>
    <x v="2"/>
    <s v="TEC-AC-10004708"/>
    <x v="2"/>
    <x v="12"/>
    <s v="Sony 32GB Class 10 Micro SDHC R40 Memory Card"/>
    <n v="419"/>
  </r>
  <r>
    <s v="US-2016-168935"/>
    <x v="154"/>
    <d v="2016-12-02T00:00:00"/>
    <d v="2016-11-01T00:00:00"/>
    <s v="Standard Class"/>
    <s v="DO-13435"/>
    <s v="Denny Ordway"/>
    <x v="0"/>
    <s v="United States"/>
    <s v="Pembroke Pines"/>
    <s v="Florida"/>
    <n v="33024"/>
    <x v="0"/>
    <s v="FUR-TA-10000617"/>
    <x v="0"/>
    <x v="2"/>
    <s v="Hon Practical Foundations 30 x 60 Training Table, Light Gray/Charcoal"/>
    <n v="3754575"/>
  </r>
  <r>
    <s v="CA-2016-122756"/>
    <x v="155"/>
    <d v="2016-12-07T00:00:00"/>
    <d v="2016-12-01T00:00:00"/>
    <s v="Standard Class"/>
    <s v="DK-13225"/>
    <s v="Dean Katz"/>
    <x v="1"/>
    <s v="United States"/>
    <s v="Philadelphia"/>
    <s v="Pennsylvania"/>
    <n v="19140"/>
    <x v="3"/>
    <s v="TEC-MA-10001681"/>
    <x v="2"/>
    <x v="14"/>
    <s v="Lexmark MarkNet N8150 Wireless Print Server"/>
    <n v="48234"/>
  </r>
  <r>
    <s v="CA-2015-115973"/>
    <x v="156"/>
    <d v="2015-11-26T00:00:00"/>
    <d v="2015-11-01T00:00:00"/>
    <s v="First Class"/>
    <s v="NG-18430"/>
    <s v="Nathan Gelder"/>
    <x v="0"/>
    <s v="United States"/>
    <s v="Cincinnati"/>
    <s v="Ohio"/>
    <n v="45231"/>
    <x v="3"/>
    <s v="OFF-AR-10004757"/>
    <x v="1"/>
    <x v="8"/>
    <s v="Crayola Colored Pencils"/>
    <n v="2624"/>
  </r>
  <r>
    <s v="CA-2018-101798"/>
    <x v="157"/>
    <d v="2018-12-15T00:00:00"/>
    <d v="2018-12-01T00:00:00"/>
    <s v="Standard Class"/>
    <s v="MV-18190"/>
    <s v="Mike Vittorini"/>
    <x v="0"/>
    <s v="United States"/>
    <s v="New York City"/>
    <s v="New York"/>
    <n v="10009"/>
    <x v="3"/>
    <s v="OFF-BI-10000050"/>
    <x v="1"/>
    <x v="5"/>
    <s v="Angle-D Binders with Locking Rings, Label Holders"/>
    <n v="2336"/>
  </r>
  <r>
    <s v="US-2015-135972"/>
    <x v="158"/>
    <d v="2015-09-23T00:00:00"/>
    <d v="2015-09-01T00:00:00"/>
    <s v="Second Class"/>
    <s v="JG-15115"/>
    <s v="Jack Garza"/>
    <x v="0"/>
    <s v="United States"/>
    <s v="Des Moines"/>
    <s v="Washington"/>
    <n v="98198"/>
    <x v="1"/>
    <s v="TEC-PH-10003012"/>
    <x v="2"/>
    <x v="10"/>
    <s v="Nortel Meridian M3904 Professional Digital phone"/>
    <n v="246384"/>
  </r>
  <r>
    <s v="US-2015-134971"/>
    <x v="159"/>
    <d v="2015-06-10T00:00:00"/>
    <d v="2015-06-01T00:00:00"/>
    <s v="Second Class"/>
    <s v="BP-11095"/>
    <s v="Bart Pistole"/>
    <x v="1"/>
    <s v="United States"/>
    <s v="Peoria"/>
    <s v="Illinois"/>
    <n v="61604"/>
    <x v="2"/>
    <s v="OFF-BI-10003982"/>
    <x v="1"/>
    <x v="5"/>
    <s v="Wilson Jones Century Plastic Molded Ring Binders"/>
    <n v="12462"/>
  </r>
  <r>
    <s v="CA-2018-102946"/>
    <x v="160"/>
    <d v="2018-07-05T00:00:00"/>
    <d v="2018-06-01T00:00:00"/>
    <s v="Standard Class"/>
    <s v="VP-21730"/>
    <s v="Victor Preis"/>
    <x v="2"/>
    <s v="United States"/>
    <s v="Las Vegas"/>
    <s v="Nevada"/>
    <n v="89115"/>
    <x v="1"/>
    <s v="OFF-BI-10004492"/>
    <x v="1"/>
    <x v="5"/>
    <s v="Tuf-Vin Binders"/>
    <n v="75792"/>
  </r>
  <r>
    <s v="CA-2018-165603"/>
    <x v="161"/>
    <d v="2018-10-19T00:00:00"/>
    <d v="2018-10-01T00:00:00"/>
    <s v="Second Class"/>
    <s v="SS-20140"/>
    <s v="Saphhira Shifley"/>
    <x v="1"/>
    <s v="United States"/>
    <s v="Warwick"/>
    <s v="Rhode Island"/>
    <n v="2886"/>
    <x v="3"/>
    <s v="OFF-ST-10000798"/>
    <x v="1"/>
    <x v="7"/>
    <s v="2300 Heavy-Duty Transfer File Systems by Perma"/>
    <n v="4996"/>
  </r>
  <r>
    <s v="CA-2017-108987"/>
    <x v="162"/>
    <d v="2017-09-10T00:00:00"/>
    <d v="2017-09-01T00:00:00"/>
    <s v="Second Class"/>
    <s v="AG-10675"/>
    <s v="Anna Gayman"/>
    <x v="0"/>
    <s v="United States"/>
    <s v="Houston"/>
    <s v="Texas"/>
    <n v="77036"/>
    <x v="2"/>
    <s v="OFF-ST-10001580"/>
    <x v="1"/>
    <x v="7"/>
    <s v="Super Decoflex Portable Personal File"/>
    <n v="35952"/>
  </r>
  <r>
    <s v="CA-2015-113166"/>
    <x v="163"/>
    <d v="2015-12-26T00:00:00"/>
    <d v="2015-12-01T00:00:00"/>
    <s v="First Class"/>
    <s v="LF-17185"/>
    <s v="Luke Foster"/>
    <x v="0"/>
    <s v="United States"/>
    <s v="Miami"/>
    <s v="Florida"/>
    <n v="33180"/>
    <x v="0"/>
    <s v="OFF-PA-10001947"/>
    <x v="1"/>
    <x v="4"/>
    <s v="Xerox 1974"/>
    <n v="9568"/>
  </r>
  <r>
    <s v="CA-2015-155208"/>
    <x v="164"/>
    <d v="2015-04-20T00:00:00"/>
    <d v="2015-04-01T00:00:00"/>
    <s v="Standard Class"/>
    <s v="SP-20650"/>
    <s v="Stephanie Phelps"/>
    <x v="1"/>
    <s v="United States"/>
    <s v="Wilmington"/>
    <s v="North Carolina"/>
    <n v="28403"/>
    <x v="0"/>
    <s v="OFF-AR-10003478"/>
    <x v="1"/>
    <x v="8"/>
    <s v="Avery Hi-Liter EverBold Pen Style Fluorescent Highlighters, 4/Pack"/>
    <n v="39072"/>
  </r>
  <r>
    <s v="CA-2018-117933"/>
    <x v="165"/>
    <d v="2018-12-29T00:00:00"/>
    <d v="2018-12-01T00:00:00"/>
    <s v="Standard Class"/>
    <s v="RF-19840"/>
    <s v="Roy Französisch"/>
    <x v="0"/>
    <s v="United States"/>
    <s v="New York City"/>
    <s v="New York"/>
    <n v="10024"/>
    <x v="3"/>
    <s v="OFF-AP-10004249"/>
    <x v="1"/>
    <x v="6"/>
    <s v="Staple holder"/>
    <n v="3591"/>
  </r>
  <r>
    <s v="CA-2018-117457"/>
    <x v="166"/>
    <d v="2018-12-12T00:00:00"/>
    <d v="2018-12-01T00:00:00"/>
    <s v="Standard Class"/>
    <s v="KH-16510"/>
    <s v="Keith Herrera"/>
    <x v="0"/>
    <s v="United States"/>
    <s v="San Francisco"/>
    <s v="California"/>
    <n v="94110"/>
    <x v="1"/>
    <s v="TEC-AC-10000158"/>
    <x v="2"/>
    <x v="12"/>
    <s v="Sony 64GB Class 10 Micro SDHC R40 Memory Card"/>
    <n v="17995"/>
  </r>
  <r>
    <s v="CA-2017-148796"/>
    <x v="167"/>
    <d v="2017-04-18T00:00:00"/>
    <d v="2017-04-01T00:00:00"/>
    <s v="Standard Class"/>
    <s v="PB-19150"/>
    <s v="Philip Brown"/>
    <x v="0"/>
    <s v="United States"/>
    <s v="Los Angeles"/>
    <s v="California"/>
    <n v="90004"/>
    <x v="1"/>
    <s v="FUR-CH-10004886"/>
    <x v="0"/>
    <x v="9"/>
    <s v="Bevis Steel Folding Chairs"/>
    <n v="3838"/>
  </r>
  <r>
    <s v="CA-2018-110478"/>
    <x v="168"/>
    <d v="2018-03-09T00:00:00"/>
    <d v="2018-03-01T00:00:00"/>
    <s v="Standard Class"/>
    <s v="SP-20860"/>
    <s v="Sung Pak"/>
    <x v="1"/>
    <s v="United States"/>
    <s v="Los Angeles"/>
    <s v="California"/>
    <n v="90045"/>
    <x v="1"/>
    <s v="OFF-AR-10001573"/>
    <x v="1"/>
    <x v="8"/>
    <s v="American Pencil"/>
    <n v="932"/>
  </r>
  <r>
    <s v="CA-2015-142048"/>
    <x v="169"/>
    <d v="2015-06-25T00:00:00"/>
    <d v="2015-06-01T00:00:00"/>
    <s v="First Class"/>
    <s v="JE-15745"/>
    <s v="Joel Eaton"/>
    <x v="0"/>
    <s v="United States"/>
    <s v="Louisville"/>
    <s v="Colorado"/>
    <n v="80027"/>
    <x v="1"/>
    <s v="TEC-AC-10004114"/>
    <x v="2"/>
    <x v="12"/>
    <s v="KeyTronic 6101 Series - Keyboard - Black"/>
    <n v="196752"/>
  </r>
  <r>
    <s v="CA-2018-155705"/>
    <x v="170"/>
    <d v="2018-08-23T00:00:00"/>
    <d v="2018-08-01T00:00:00"/>
    <s v="Second Class"/>
    <s v="NF-18385"/>
    <s v="Natalie Fritzler"/>
    <x v="0"/>
    <s v="United States"/>
    <s v="Jackson"/>
    <s v="Mississippi"/>
    <n v="39212"/>
    <x v="0"/>
    <s v="FUR-CH-10000015"/>
    <x v="0"/>
    <x v="9"/>
    <s v="Hon Multipurpose Stacking Arm Chairs"/>
    <n v="8664"/>
  </r>
  <r>
    <s v="CA-2015-101476"/>
    <x v="171"/>
    <d v="2015-09-13T00:00:00"/>
    <d v="2015-09-01T00:00:00"/>
    <s v="First Class"/>
    <s v="SD-20485"/>
    <s v="Shirley Daniels"/>
    <x v="2"/>
    <s v="United States"/>
    <s v="New Rochelle"/>
    <s v="New York"/>
    <n v="10801"/>
    <x v="3"/>
    <s v="TEC-MA-10000029"/>
    <x v="2"/>
    <x v="14"/>
    <s v="Epson WorkForce WF-2530 All-in-One Printer, Copier Scanner"/>
    <n v="6999"/>
  </r>
  <r>
    <s v="CA-2018-152275"/>
    <x v="172"/>
    <d v="2018-10-08T00:00:00"/>
    <d v="2018-10-01T00:00:00"/>
    <s v="Standard Class"/>
    <s v="KH-16630"/>
    <s v="Ken Heidel"/>
    <x v="1"/>
    <s v="United States"/>
    <s v="San Antonio"/>
    <s v="Texas"/>
    <n v="78207"/>
    <x v="2"/>
    <s v="OFF-AR-10000369"/>
    <x v="1"/>
    <x v="8"/>
    <s v="Design Ebony Sketching Pencil"/>
    <n v="6672"/>
  </r>
  <r>
    <s v="US-2017-123750"/>
    <x v="173"/>
    <d v="2017-04-21T00:00:00"/>
    <d v="2017-04-01T00:00:00"/>
    <s v="Standard Class"/>
    <s v="RB-19795"/>
    <s v="Ross Baird"/>
    <x v="2"/>
    <s v="United States"/>
    <s v="Gastonia"/>
    <s v="North Carolina"/>
    <n v="28052"/>
    <x v="0"/>
    <s v="OFF-BI-10004584"/>
    <x v="1"/>
    <x v="5"/>
    <s v="GBC ProClick 150 Presentation Binding System"/>
    <n v="189588"/>
  </r>
  <r>
    <s v="US-2015-150574"/>
    <x v="174"/>
    <d v="2015-12-25T00:00:00"/>
    <d v="2015-12-01T00:00:00"/>
    <s v="Standard Class"/>
    <s v="MK-18160"/>
    <s v="Mike Kennedy"/>
    <x v="0"/>
    <s v="United States"/>
    <s v="Jacksonville"/>
    <s v="Florida"/>
    <n v="32216"/>
    <x v="0"/>
    <s v="OFF-BI-10000773"/>
    <x v="1"/>
    <x v="5"/>
    <s v="Insertable Tab Post Binder Dividers"/>
    <n v="4812"/>
  </r>
  <r>
    <s v="CA-2018-130043"/>
    <x v="175"/>
    <d v="2018-09-19T00:00:00"/>
    <d v="2018-09-01T00:00:00"/>
    <s v="Standard Class"/>
    <s v="BB-11545"/>
    <s v="Brenda Bowman"/>
    <x v="1"/>
    <s v="United States"/>
    <s v="Houston"/>
    <s v="Texas"/>
    <n v="77070"/>
    <x v="2"/>
    <s v="OFF-PA-10002230"/>
    <x v="1"/>
    <x v="4"/>
    <s v="Xerox 1897"/>
    <n v="31872"/>
  </r>
  <r>
    <s v="CA-2018-157252"/>
    <x v="176"/>
    <d v="2018-01-23T00:00:00"/>
    <d v="2018-01-01T00:00:00"/>
    <s v="Second Class"/>
    <s v="CV-12805"/>
    <s v="Cynthia Voltz"/>
    <x v="1"/>
    <s v="United States"/>
    <s v="New York City"/>
    <s v="New York"/>
    <n v="10024"/>
    <x v="3"/>
    <s v="FUR-CH-10003396"/>
    <x v="0"/>
    <x v="9"/>
    <s v="Global Deluxe Steno Chair"/>
    <n v="207846"/>
  </r>
  <r>
    <s v="CA-2018-154214"/>
    <x v="177"/>
    <d v="2018-03-25T00:00:00"/>
    <d v="2018-03-01T00:00:00"/>
    <s v="Second Class"/>
    <s v="TB-21595"/>
    <s v="Troy Blackwell"/>
    <x v="0"/>
    <s v="United States"/>
    <s v="Columbus"/>
    <s v="Indiana"/>
    <n v="47201"/>
    <x v="2"/>
    <s v="FUR-FU-10000206"/>
    <x v="0"/>
    <x v="3"/>
    <s v="GE General Purpose, Extra Long Life, Showcase &amp; Floodlight Incandescent Bulbs"/>
    <n v="291"/>
  </r>
  <r>
    <s v="CA-2017-166674"/>
    <x v="178"/>
    <d v="2017-04-03T00:00:00"/>
    <d v="2017-04-01T00:00:00"/>
    <s v="Second Class"/>
    <s v="RB-19360"/>
    <s v="Raymond Buch"/>
    <x v="0"/>
    <s v="United States"/>
    <s v="Auburn"/>
    <s v="New York"/>
    <n v="13021"/>
    <x v="3"/>
    <s v="OFF-AR-10000588"/>
    <x v="1"/>
    <x v="8"/>
    <s v="Newell 345"/>
    <n v="5952"/>
  </r>
  <r>
    <s v="CA-2018-147277"/>
    <x v="179"/>
    <d v="2018-10-24T00:00:00"/>
    <d v="2018-10-01T00:00:00"/>
    <s v="Standard Class"/>
    <s v="EB-13705"/>
    <s v="Ed Braxton"/>
    <x v="1"/>
    <s v="United States"/>
    <s v="Akron"/>
    <s v="Ohio"/>
    <n v="44312"/>
    <x v="3"/>
    <s v="FUR-TA-10001539"/>
    <x v="0"/>
    <x v="2"/>
    <s v="Chromcraft Rectangular Conference Tables"/>
    <n v="284364"/>
  </r>
  <r>
    <s v="CA-2017-100153"/>
    <x v="180"/>
    <d v="2017-12-17T00:00:00"/>
    <d v="2017-12-01T00:00:00"/>
    <s v="Standard Class"/>
    <s v="KH-16630"/>
    <s v="Ken Heidel"/>
    <x v="1"/>
    <s v="United States"/>
    <s v="Norman"/>
    <s v="Oklahoma"/>
    <n v="73071"/>
    <x v="2"/>
    <s v="TEC-AC-10001772"/>
    <x v="2"/>
    <x v="12"/>
    <s v="Memorex Mini Travel Drive 16 GB USB 2.0 Flash Drive"/>
    <n v="6388"/>
  </r>
  <r>
    <s v="US-2015-110674"/>
    <x v="181"/>
    <d v="2015-02-18T00:00:00"/>
    <d v="2015-02-01T00:00:00"/>
    <s v="Standard Class"/>
    <s v="SC-20095"/>
    <s v="Sanjit Chand"/>
    <x v="0"/>
    <s v="United States"/>
    <s v="Concord"/>
    <s v="California"/>
    <n v="94521"/>
    <x v="1"/>
    <s v="FUR-CH-10000225"/>
    <x v="0"/>
    <x v="9"/>
    <s v="Global Geo Office Task Chair, Gray"/>
    <n v="129568"/>
  </r>
  <r>
    <s v="US-2017-157945"/>
    <x v="182"/>
    <d v="2017-10-01T00:00:00"/>
    <d v="2017-09-01T00:00:00"/>
    <s v="Standard Class"/>
    <s v="NF-18385"/>
    <s v="Natalie Fritzler"/>
    <x v="0"/>
    <s v="United States"/>
    <s v="Decatur"/>
    <s v="Illinois"/>
    <n v="62521"/>
    <x v="2"/>
    <s v="FUR-CH-10002331"/>
    <x v="0"/>
    <x v="9"/>
    <s v="Hon 4700 Series Mobuis Mid-Back Task Chairs with Adjustable Arms"/>
    <n v="747558"/>
  </r>
  <r>
    <s v="CA-2017-109869"/>
    <x v="183"/>
    <d v="2017-04-29T00:00:00"/>
    <d v="2017-04-01T00:00:00"/>
    <s v="Standard Class"/>
    <s v="TN-21040"/>
    <s v="Tanja Norvell"/>
    <x v="2"/>
    <s v="United States"/>
    <s v="Phoenix"/>
    <s v="Arizona"/>
    <n v="85023"/>
    <x v="1"/>
    <s v="FUR-FU-10000023"/>
    <x v="0"/>
    <x v="3"/>
    <s v="Eldon Wave Desk Accessories"/>
    <n v="2356"/>
  </r>
  <r>
    <s v="US-2016-101399"/>
    <x v="184"/>
    <d v="2016-01-24T00:00:00"/>
    <d v="2016-01-01T00:00:00"/>
    <s v="Standard Class"/>
    <s v="JS-15940"/>
    <s v="Joni Sundaresam"/>
    <x v="2"/>
    <s v="United States"/>
    <s v="Park Ridge"/>
    <s v="Illinois"/>
    <n v="60068"/>
    <x v="2"/>
    <s v="FUR-FU-10002918"/>
    <x v="0"/>
    <x v="3"/>
    <s v="Eldon ClusterMat Chair Mat with Cordless Antistatic Protection"/>
    <n v="254744"/>
  </r>
  <r>
    <s v="CA-2018-154907"/>
    <x v="185"/>
    <d v="2018-04-04T00:00:00"/>
    <d v="2018-03-01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3328"/>
  </r>
  <r>
    <s v="US-2017-100419"/>
    <x v="186"/>
    <d v="2017-12-20T00:00:00"/>
    <d v="2017-12-01T00:00:00"/>
    <s v="Second Class"/>
    <s v="CC-12670"/>
    <s v="Craig Carreira"/>
    <x v="0"/>
    <s v="United States"/>
    <s v="Chicago"/>
    <s v="Illinois"/>
    <n v="60610"/>
    <x v="2"/>
    <s v="OFF-BI-10002194"/>
    <x v="1"/>
    <x v="5"/>
    <s v="Cardinal Hold-It CD Pocket"/>
    <n v="4788"/>
  </r>
  <r>
    <s v="CA-2015-144666"/>
    <x v="187"/>
    <d v="2015-11-11T00:00:00"/>
    <d v="2015-11-01T00:00:00"/>
    <s v="Second Class"/>
    <s v="JP-15520"/>
    <s v="Jeremy Pistek"/>
    <x v="0"/>
    <s v="United States"/>
    <s v="San Francisco"/>
    <s v="California"/>
    <n v="94110"/>
    <x v="1"/>
    <s v="OFF-ST-10002743"/>
    <x v="1"/>
    <x v="7"/>
    <s v="SAFCO Boltless Steel Shelving"/>
    <n v="34092"/>
  </r>
  <r>
    <s v="CA-2017-103891"/>
    <x v="188"/>
    <d v="2017-07-19T00:00:00"/>
    <d v="2017-07-01T00:00:00"/>
    <s v="Standard Class"/>
    <s v="KH-16690"/>
    <s v="Kristen Hastings"/>
    <x v="1"/>
    <s v="United States"/>
    <s v="Los Angeles"/>
    <s v="California"/>
    <n v="90008"/>
    <x v="1"/>
    <s v="TEC-PH-10000149"/>
    <x v="2"/>
    <x v="10"/>
    <s v="Cisco SPA525G2 IP Phone - Wireless"/>
    <n v="9576"/>
  </r>
  <r>
    <s v="CA-2017-152632"/>
    <x v="189"/>
    <d v="2017-11-02T00:00:00"/>
    <d v="2017-10-01T00:00:00"/>
    <s v="Standard Class"/>
    <s v="JE-15475"/>
    <s v="Jeremy Ellison"/>
    <x v="0"/>
    <s v="United States"/>
    <s v="Troy"/>
    <s v="New York"/>
    <n v="12180"/>
    <x v="3"/>
    <s v="FUR-FU-10002671"/>
    <x v="0"/>
    <x v="3"/>
    <s v="Electrix 20W Halogen Replacement Bulb for Zoom-In Desk Lamp"/>
    <n v="402"/>
  </r>
  <r>
    <s v="CA-2017-100790"/>
    <x v="190"/>
    <d v="2017-07-02T00:00:00"/>
    <d v="2017-06-01T00:00:00"/>
    <s v="Standard Class"/>
    <s v="JG-15805"/>
    <s v="John Grady"/>
    <x v="1"/>
    <s v="United States"/>
    <s v="New York City"/>
    <s v="New York"/>
    <n v="10024"/>
    <x v="3"/>
    <s v="OFF-AR-10003045"/>
    <x v="1"/>
    <x v="8"/>
    <s v="Prang Colored Pencils"/>
    <n v="147"/>
  </r>
  <r>
    <s v="CA-2015-134677"/>
    <x v="191"/>
    <d v="2015-10-10T00:00:00"/>
    <d v="2015-10-01T00:00:00"/>
    <s v="Standard Class"/>
    <s v="XP-21865"/>
    <s v="Xylona Preis"/>
    <x v="0"/>
    <s v="United States"/>
    <s v="San Diego"/>
    <s v="California"/>
    <n v="92024"/>
    <x v="1"/>
    <s v="TEC-AC-10001445"/>
    <x v="2"/>
    <x v="12"/>
    <s v="Imation USB 2.0 Swivel Flash Drive USB flash drive - 4 GB - Pink"/>
    <n v="909"/>
  </r>
  <r>
    <s v="CA-2015-127691"/>
    <x v="192"/>
    <d v="2015-07-27T00:00:00"/>
    <d v="2015-07-01T00:00:00"/>
    <s v="Standard Class"/>
    <s v="EM-14065"/>
    <s v="Erin Mull"/>
    <x v="0"/>
    <s v="United States"/>
    <s v="New York City"/>
    <s v="New York"/>
    <n v="10024"/>
    <x v="3"/>
    <s v="OFF-AR-10002053"/>
    <x v="1"/>
    <x v="8"/>
    <s v="Premium Writing Pencils, Soft, #2 by Central Association for the Blind"/>
    <n v="596"/>
  </r>
  <r>
    <s v="CA-2018-140963"/>
    <x v="193"/>
    <d v="2018-06-13T00:00:00"/>
    <d v="2018-06-01T00:00:00"/>
    <s v="First Class"/>
    <s v="MT-18070"/>
    <s v="Michelle Tran"/>
    <x v="2"/>
    <s v="United States"/>
    <s v="Los Angeles"/>
    <s v="California"/>
    <n v="90045"/>
    <x v="1"/>
    <s v="OFF-LA-10003923"/>
    <x v="1"/>
    <x v="1"/>
    <s v="Alphabetical Labels for Top Tab Filing"/>
    <n v="296"/>
  </r>
  <r>
    <s v="CA-2015-154627"/>
    <x v="194"/>
    <d v="2015-10-31T00:00:00"/>
    <d v="2015-10-01T00:00:00"/>
    <s v="First Class"/>
    <s v="SA-20830"/>
    <s v="Sue Ann Reed"/>
    <x v="0"/>
    <s v="United States"/>
    <s v="Chicago"/>
    <s v="Illinois"/>
    <n v="60610"/>
    <x v="2"/>
    <s v="TEC-PH-10001363"/>
    <x v="2"/>
    <x v="10"/>
    <s v="Apple iPhone 5S"/>
    <n v="2735952"/>
  </r>
  <r>
    <s v="CA-2017-169166"/>
    <x v="195"/>
    <d v="2017-05-14T00:00:00"/>
    <d v="2017-05-01T00:00:00"/>
    <s v="Standard Class"/>
    <s v="SS-20590"/>
    <s v="Sonia Sunley"/>
    <x v="0"/>
    <s v="United States"/>
    <s v="Seattle"/>
    <s v="Washington"/>
    <n v="98115"/>
    <x v="1"/>
    <s v="TEC-AC-10000991"/>
    <x v="2"/>
    <x v="12"/>
    <s v="Sony Micro Vault Click 8 GB USB 2.0 Flash Drive"/>
    <n v="9398"/>
  </r>
  <r>
    <s v="US-2017-120929"/>
    <x v="196"/>
    <d v="2017-03-21T00:00:00"/>
    <d v="2017-03-01T00:00:00"/>
    <s v="Second Class"/>
    <s v="RO-19780"/>
    <s v="Rose O'Brian"/>
    <x v="0"/>
    <s v="United States"/>
    <s v="Memphis"/>
    <s v="Tennessee"/>
    <n v="38109"/>
    <x v="0"/>
    <s v="FUR-TA-10001857"/>
    <x v="0"/>
    <x v="2"/>
    <s v="Balt Solid Wood Rectangular Table"/>
    <n v="189882"/>
  </r>
  <r>
    <s v="CA-2017-126158"/>
    <x v="197"/>
    <d v="2017-07-31T00:00:00"/>
    <d v="2017-07-01T00:00:00"/>
    <s v="Standard Class"/>
    <s v="SC-20095"/>
    <s v="Sanjit Chand"/>
    <x v="0"/>
    <s v="United States"/>
    <s v="Costa Mesa"/>
    <s v="California"/>
    <n v="92627"/>
    <x v="1"/>
    <s v="OFF-BI-10002498"/>
    <x v="1"/>
    <x v="5"/>
    <s v="Clear Mylar Reinforcing Strips"/>
    <n v="119616"/>
  </r>
  <r>
    <s v="US-2017-105578"/>
    <x v="198"/>
    <d v="2017-06-04T00:00:00"/>
    <d v="2017-05-01T00:00:00"/>
    <s v="Standard Class"/>
    <s v="MY-17380"/>
    <s v="Maribeth Yedwab"/>
    <x v="1"/>
    <s v="United States"/>
    <s v="Parker"/>
    <s v="Colorado"/>
    <n v="80134"/>
    <x v="1"/>
    <s v="OFF-BI-10001670"/>
    <x v="1"/>
    <x v="5"/>
    <s v="Vinyl Sectional Post Binders"/>
    <n v="2262"/>
  </r>
  <r>
    <s v="CA-2016-145352"/>
    <x v="199"/>
    <d v="2016-03-22T00:00:00"/>
    <d v="2016-03-01T00:00:00"/>
    <s v="Standard Class"/>
    <s v="CM-12385"/>
    <s v="Christopher Martinez"/>
    <x v="0"/>
    <s v="United States"/>
    <s v="Atlanta"/>
    <s v="Georgia"/>
    <n v="30318"/>
    <x v="0"/>
    <s v="OFF-AR-10001662"/>
    <x v="1"/>
    <x v="8"/>
    <s v="Rogers Handheld Barrel Pencil Sharpener"/>
    <n v="274"/>
  </r>
  <r>
    <s v="CA-2018-135307"/>
    <x v="200"/>
    <d v="2018-11-27T00:00:00"/>
    <d v="2018-11-01T00:00:00"/>
    <s v="First Class"/>
    <s v="LS-17245"/>
    <s v="Lynn Smith"/>
    <x v="0"/>
    <s v="United States"/>
    <s v="Gladstone"/>
    <s v="Missouri"/>
    <n v="64118"/>
    <x v="2"/>
    <s v="FUR-FU-10001290"/>
    <x v="0"/>
    <x v="3"/>
    <s v="Executive Impressions Supervisor Wall Clock"/>
    <n v="1263"/>
  </r>
  <r>
    <s v="CA-2017-106341"/>
    <x v="201"/>
    <d v="2017-10-23T00:00:00"/>
    <d v="2017-10-01T00:00:00"/>
    <s v="First Class"/>
    <s v="LF-17185"/>
    <s v="Luke Foster"/>
    <x v="0"/>
    <s v="United States"/>
    <s v="Newark"/>
    <s v="Ohio"/>
    <n v="43055"/>
    <x v="3"/>
    <s v="OFF-AR-10002053"/>
    <x v="1"/>
    <x v="8"/>
    <s v="Premium Writing Pencils, Soft, #2 by Central Association for the Blind"/>
    <n v="7152"/>
  </r>
  <r>
    <s v="CA-2018-163405"/>
    <x v="202"/>
    <d v="2018-12-25T00:00:00"/>
    <d v="2018-12-01T00:00:00"/>
    <s v="Standard Class"/>
    <s v="BN-11515"/>
    <s v="Bradley Nguyen"/>
    <x v="0"/>
    <s v="United States"/>
    <s v="Los Angeles"/>
    <s v="California"/>
    <n v="90049"/>
    <x v="1"/>
    <s v="OFF-AR-10003811"/>
    <x v="1"/>
    <x v="8"/>
    <s v="Newell 327"/>
    <n v="663"/>
  </r>
  <r>
    <s v="CA-2018-127432"/>
    <x v="203"/>
    <d v="2018-01-27T00:00:00"/>
    <d v="2018-01-01T00:00:00"/>
    <s v="Standard Class"/>
    <s v="AD-10180"/>
    <s v="Alan Dominguez"/>
    <x v="2"/>
    <s v="United States"/>
    <s v="Great Falls"/>
    <s v="Montana"/>
    <n v="59405"/>
    <x v="1"/>
    <s v="TEC-CO-10003236"/>
    <x v="2"/>
    <x v="15"/>
    <s v="Canon Image Class D660 Copier"/>
    <n v="299995"/>
  </r>
  <r>
    <s v="CA-2016-157812"/>
    <x v="204"/>
    <d v="2016-03-26T00:00:00"/>
    <d v="2016-03-01T00:00:00"/>
    <s v="Standard Class"/>
    <s v="DB-13210"/>
    <s v="Dean Braden"/>
    <x v="0"/>
    <s v="United States"/>
    <s v="Houston"/>
    <s v="Texas"/>
    <n v="77041"/>
    <x v="2"/>
    <s v="TEC-AC-10000171"/>
    <x v="2"/>
    <x v="12"/>
    <s v="Verbatim 25 GB 6x Blu-ray Single Layer Recordable Disc, 25/Pack"/>
    <n v="18392"/>
  </r>
  <r>
    <s v="CA-2018-145142"/>
    <x v="205"/>
    <d v="2018-01-25T00:00:00"/>
    <d v="2018-01-01T00:00:00"/>
    <s v="First Class"/>
    <s v="MC-17605"/>
    <s v="Matt Connell"/>
    <x v="1"/>
    <s v="United States"/>
    <s v="Detroit"/>
    <s v="Michigan"/>
    <n v="48234"/>
    <x v="2"/>
    <s v="FUR-TA-10001857"/>
    <x v="0"/>
    <x v="2"/>
    <s v="Balt Solid Wood Rectangular Table"/>
    <n v="21098"/>
  </r>
  <r>
    <s v="US-2017-139486"/>
    <x v="206"/>
    <d v="2017-05-23T00:00:00"/>
    <d v="2017-05-01T00:00:00"/>
    <s v="First Class"/>
    <s v="LH-17155"/>
    <s v="Logan Haushalter"/>
    <x v="0"/>
    <s v="United States"/>
    <s v="Los Angeles"/>
    <s v="California"/>
    <n v="90032"/>
    <x v="1"/>
    <s v="TEC-PH-10003555"/>
    <x v="2"/>
    <x v="10"/>
    <s v="Motorola HK250 Universal Bluetooth Headset"/>
    <n v="55176"/>
  </r>
  <r>
    <s v="CA-2016-158792"/>
    <x v="207"/>
    <d v="2017-01-02T00:00:00"/>
    <d v="2016-1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2"/>
  </r>
  <r>
    <s v="CA-2018-113558"/>
    <x v="208"/>
    <d v="2018-10-26T00:00:00"/>
    <d v="2018-10-01T00:00:00"/>
    <s v="Standard Class"/>
    <s v="PH-18790"/>
    <s v="Patricia Hirasaki"/>
    <x v="2"/>
    <s v="United States"/>
    <s v="Lakeland"/>
    <s v="Florida"/>
    <n v="33801"/>
    <x v="0"/>
    <s v="FUR-CH-10003379"/>
    <x v="0"/>
    <x v="9"/>
    <s v="Global Commerce Series High-Back Swivel/Tilt Chairs"/>
    <n v="683952"/>
  </r>
  <r>
    <s v="CA-2016-102848"/>
    <x v="209"/>
    <d v="2016-11-09T00:00:00"/>
    <d v="2016-11-01T00:00:00"/>
    <s v="Second Class"/>
    <s v="KB-16240"/>
    <s v="Karen Bern"/>
    <x v="1"/>
    <s v="United States"/>
    <s v="Los Angeles"/>
    <s v="California"/>
    <n v="90036"/>
    <x v="1"/>
    <s v="FUR-CH-10000595"/>
    <x v="0"/>
    <x v="9"/>
    <s v="Safco Contoured Stacking Chairs"/>
    <n v="19072"/>
  </r>
  <r>
    <s v="US-2018-129441"/>
    <x v="210"/>
    <d v="2018-09-11T00:00:00"/>
    <d v="2018-09-01T00:00:00"/>
    <s v="Standard Class"/>
    <s v="JC-15340"/>
    <s v="Jasper Cacioppo"/>
    <x v="0"/>
    <s v="United States"/>
    <s v="Los Angeles"/>
    <s v="California"/>
    <n v="90032"/>
    <x v="1"/>
    <s v="FUR-FU-10000448"/>
    <x v="0"/>
    <x v="3"/>
    <s v="Tenex Chairmats For Use With Carpeted Floors"/>
    <n v="4794"/>
  </r>
  <r>
    <s v="CA-2017-168753"/>
    <x v="211"/>
    <d v="2017-06-01T00:00:00"/>
    <d v="2017-05-01T00:00:00"/>
    <s v="Second Class"/>
    <s v="RL-19615"/>
    <s v="Rob Lucas"/>
    <x v="0"/>
    <s v="United States"/>
    <s v="Montgomery"/>
    <s v="Alabama"/>
    <n v="36116"/>
    <x v="0"/>
    <s v="TEC-PH-10000984"/>
    <x v="2"/>
    <x v="10"/>
    <s v="Panasonic KX-TG9471B"/>
    <n v="97995"/>
  </r>
  <r>
    <s v="CA-2017-126613"/>
    <x v="212"/>
    <d v="2017-07-16T00:00:00"/>
    <d v="2017-07-01T00:00:00"/>
    <s v="Standard Class"/>
    <s v="AA-10375"/>
    <s v="Allen Armold"/>
    <x v="0"/>
    <s v="United States"/>
    <s v="Mesa"/>
    <s v="Arizona"/>
    <n v="85204"/>
    <x v="1"/>
    <s v="OFF-ST-10001325"/>
    <x v="1"/>
    <x v="7"/>
    <s v="Sterilite Officeware Hinged File Box"/>
    <n v="16768"/>
  </r>
  <r>
    <s v="US-2018-122637"/>
    <x v="213"/>
    <d v="2018-09-08T00:00:00"/>
    <d v="2018-09-01T00:00:00"/>
    <s v="Second Class"/>
    <s v="EP-13915"/>
    <s v="Emily Phan"/>
    <x v="0"/>
    <s v="United States"/>
    <s v="Chicago"/>
    <s v="Illinois"/>
    <n v="60653"/>
    <x v="2"/>
    <s v="OFF-BI-10002429"/>
    <x v="1"/>
    <x v="5"/>
    <s v="Premier Elliptical Ring Binder, Black"/>
    <n v="42616"/>
  </r>
  <r>
    <s v="CA-2016-134894"/>
    <x v="214"/>
    <d v="2016-12-11T00:00:00"/>
    <d v="2016-12-01T00:00:00"/>
    <s v="Standard Class"/>
    <s v="DK-12985"/>
    <s v="Darren Koutras"/>
    <x v="0"/>
    <s v="United States"/>
    <s v="Henderson"/>
    <s v="Kentucky"/>
    <n v="42420"/>
    <x v="0"/>
    <s v="OFF-AP-10001271"/>
    <x v="1"/>
    <x v="6"/>
    <s v="Eureka The Boss Cordless Rechargeable Stick Vac"/>
    <n v="15294"/>
  </r>
  <r>
    <s v="CA-2015-140795"/>
    <x v="215"/>
    <d v="2015-02-03T00:00:00"/>
    <d v="2015-02-01T00:00:00"/>
    <s v="First Class"/>
    <s v="BD-11500"/>
    <s v="Bradley Drucker"/>
    <x v="0"/>
    <s v="United States"/>
    <s v="Green Bay"/>
    <s v="Wisconsin"/>
    <n v="54302"/>
    <x v="2"/>
    <s v="TEC-AC-10001432"/>
    <x v="2"/>
    <x v="12"/>
    <s v="Enermax Aurora Lite Keyboard"/>
    <n v="4689"/>
  </r>
  <r>
    <s v="CA-2017-136924"/>
    <x v="216"/>
    <d v="2017-07-17T00:00:00"/>
    <d v="2017-07-01T00:00:00"/>
    <s v="First Class"/>
    <s v="ES-14080"/>
    <s v="Erin Smith"/>
    <x v="1"/>
    <s v="United States"/>
    <s v="Tucson"/>
    <s v="Arizona"/>
    <n v="85705"/>
    <x v="1"/>
    <s v="TEC-PH-10002262"/>
    <x v="2"/>
    <x v="10"/>
    <s v="LG Electronics Tone+ HBS-730 Bluetooth Headset"/>
    <n v="380864"/>
  </r>
  <r>
    <s v="US-2016-120161"/>
    <x v="217"/>
    <d v="2016-12-23T00:00:00"/>
    <d v="2016-12-01T00:00:00"/>
    <s v="Standard Class"/>
    <s v="LM-17065"/>
    <s v="Liz MacKendrick"/>
    <x v="0"/>
    <s v="United States"/>
    <s v="Springfield"/>
    <s v="Ohio"/>
    <n v="45503"/>
    <x v="3"/>
    <s v="OFF-ST-10001809"/>
    <x v="1"/>
    <x v="7"/>
    <s v="Fellowes Officeware Wire Shelving"/>
    <n v="646776"/>
  </r>
  <r>
    <s v="CA-2015-103849"/>
    <x v="218"/>
    <d v="2015-05-16T00:00:00"/>
    <d v="2015-05-01T00:00:00"/>
    <s v="Standard Class"/>
    <s v="PG-18895"/>
    <s v="Paul Gonzalez"/>
    <x v="0"/>
    <s v="United States"/>
    <s v="Fort Worth"/>
    <s v="Texas"/>
    <n v="76106"/>
    <x v="2"/>
    <s v="TEC-AC-10001465"/>
    <x v="2"/>
    <x v="12"/>
    <s v="SanDisk Cruzer 64 GB USB Flash Drive"/>
    <n v="58112"/>
  </r>
  <r>
    <s v="CA-2016-113173"/>
    <x v="219"/>
    <d v="2016-11-17T00:00:00"/>
    <d v="2016-11-01T00:00:00"/>
    <s v="Second Class"/>
    <s v="DK-13225"/>
    <s v="Dean Katz"/>
    <x v="1"/>
    <s v="United States"/>
    <s v="Chicago"/>
    <s v="Illinois"/>
    <n v="60653"/>
    <x v="2"/>
    <s v="OFF-ST-10000604"/>
    <x v="1"/>
    <x v="7"/>
    <s v="Home/Office Personal File Carts"/>
    <n v="250272"/>
  </r>
  <r>
    <s v="CA-2018-112774"/>
    <x v="220"/>
    <d v="2018-09-12T00:00:00"/>
    <d v="2018-09-01T00:00:00"/>
    <s v="First Class"/>
    <s v="RC-19960"/>
    <s v="Ryan Crowe"/>
    <x v="0"/>
    <s v="United States"/>
    <s v="Jacksonville"/>
    <s v="Florida"/>
    <n v="32216"/>
    <x v="0"/>
    <s v="FUR-FU-10003039"/>
    <x v="0"/>
    <x v="3"/>
    <s v="Howard Miller 11-1/2&quot; Diameter Grantwood Wall Clock"/>
    <n v="34504"/>
  </r>
  <r>
    <s v="CA-2018-101945"/>
    <x v="221"/>
    <d v="2018-11-28T00:00:00"/>
    <d v="2018-11-01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824"/>
  </r>
  <r>
    <s v="CA-2018-100650"/>
    <x v="222"/>
    <d v="2018-07-03T00:00:00"/>
    <d v="2018-06-01T00:00:00"/>
    <s v="Second Class"/>
    <s v="DK-13225"/>
    <s v="Dean Katz"/>
    <x v="1"/>
    <s v="United States"/>
    <s v="Anaheim"/>
    <s v="California"/>
    <n v="92804"/>
    <x v="1"/>
    <s v="OFF-ST-10001780"/>
    <x v="1"/>
    <x v="7"/>
    <s v="Tennsco 16-Compartment Lockers with Coat Rack"/>
    <n v="129578"/>
  </r>
  <r>
    <s v="CA-2015-155852"/>
    <x v="223"/>
    <d v="2015-03-07T00:00:00"/>
    <d v="2015-03-01T00:00:00"/>
    <s v="Second Class"/>
    <s v="AJ-10945"/>
    <s v="Ashley Jarboe"/>
    <x v="0"/>
    <s v="United States"/>
    <s v="Wilmington"/>
    <s v="North Carolina"/>
    <n v="28403"/>
    <x v="0"/>
    <s v="OFF-AR-10003560"/>
    <x v="1"/>
    <x v="8"/>
    <s v="Zebra Zazzle Fluorescent Highlighters"/>
    <n v="19456"/>
  </r>
  <r>
    <s v="CA-2017-113243"/>
    <x v="224"/>
    <d v="2017-06-15T00:00:00"/>
    <d v="2017-06-01T00:00:00"/>
    <s v="Standard Class"/>
    <s v="OT-18730"/>
    <s v="Olvera Toch"/>
    <x v="0"/>
    <s v="United States"/>
    <s v="Los Angeles"/>
    <s v="California"/>
    <n v="90045"/>
    <x v="1"/>
    <s v="OFF-LA-10001297"/>
    <x v="1"/>
    <x v="1"/>
    <s v="Avery 473"/>
    <n v="207"/>
  </r>
  <r>
    <s v="CA-2018-118731"/>
    <x v="225"/>
    <d v="2018-11-22T00:00:00"/>
    <d v="2018-11-01T00:00:00"/>
    <s v="Second Class"/>
    <s v="LP-17080"/>
    <s v="Liz Pelletier"/>
    <x v="0"/>
    <s v="United States"/>
    <s v="San Francisco"/>
    <s v="California"/>
    <n v="94110"/>
    <x v="1"/>
    <s v="FUR-FU-10003347"/>
    <x v="0"/>
    <x v="3"/>
    <s v="Coloredge Poster Frame"/>
    <n v="426"/>
  </r>
  <r>
    <s v="CA-2018-137099"/>
    <x v="226"/>
    <d v="2018-12-10T00:00:00"/>
    <d v="2018-12-01T00:00:00"/>
    <s v="First Class"/>
    <s v="FP-14320"/>
    <s v="Frank Preis"/>
    <x v="0"/>
    <s v="United States"/>
    <s v="Los Angeles"/>
    <s v="California"/>
    <n v="90008"/>
    <x v="1"/>
    <s v="TEC-PH-10002496"/>
    <x v="2"/>
    <x v="10"/>
    <s v="Cisco SPA301"/>
    <n v="374376"/>
  </r>
  <r>
    <s v="CA-2016-149713"/>
    <x v="227"/>
    <d v="2016-09-22T00:00:00"/>
    <d v="2016-09-01T00:00:00"/>
    <s v="Second Class"/>
    <s v="TG-21640"/>
    <s v="Trudy Glocke"/>
    <x v="0"/>
    <s v="United States"/>
    <s v="Long Beach"/>
    <s v="California"/>
    <n v="90805"/>
    <x v="1"/>
    <s v="OFF-PA-10004530"/>
    <x v="1"/>
    <x v="4"/>
    <s v="Personal Creations Ink Jet Cards and Labels"/>
    <n v="16072"/>
  </r>
  <r>
    <s v="CA-2018-118640"/>
    <x v="228"/>
    <d v="2018-07-26T00:00:00"/>
    <d v="2018-07-01T00:00:00"/>
    <s v="Standard Class"/>
    <s v="CS-11950"/>
    <s v="Carlos Soltero"/>
    <x v="0"/>
    <s v="United States"/>
    <s v="Chicago"/>
    <s v="Illinois"/>
    <n v="60610"/>
    <x v="2"/>
    <s v="OFF-ST-10002974"/>
    <x v="1"/>
    <x v="7"/>
    <s v="Trav-L-File Heavy-Duty Shuttle II, Black"/>
    <n v="69712"/>
  </r>
  <r>
    <s v="CA-2016-132906"/>
    <x v="229"/>
    <d v="2016-09-14T00:00:00"/>
    <d v="2016-09-01T00:00:00"/>
    <s v="Standard Class"/>
    <s v="CC-12145"/>
    <s v="Charles Crestani"/>
    <x v="0"/>
    <s v="United States"/>
    <s v="Los Angeles"/>
    <s v="California"/>
    <n v="90004"/>
    <x v="1"/>
    <s v="OFF-SU-10004498"/>
    <x v="1"/>
    <x v="16"/>
    <s v="Martin-Yale Premier Letter Opener"/>
    <n v="5152"/>
  </r>
  <r>
    <s v="CA-2016-128139"/>
    <x v="230"/>
    <d v="2016-07-09T00:00:00"/>
    <d v="2016-07-01T00:00:00"/>
    <s v="Standard Class"/>
    <s v="BD-11725"/>
    <s v="Bruce Degenhardt"/>
    <x v="0"/>
    <s v="United States"/>
    <s v="Richmond"/>
    <s v="Kentucky"/>
    <n v="40475"/>
    <x v="0"/>
    <s v="FUR-CH-10003956"/>
    <x v="0"/>
    <x v="9"/>
    <s v="Novimex High-Tech Fabric Mesh Task Chair"/>
    <n v="7098"/>
  </r>
  <r>
    <s v="US-2017-156986"/>
    <x v="231"/>
    <d v="2017-03-24T00:00:00"/>
    <d v="2017-03-01T00:00:00"/>
    <s v="Standard Class"/>
    <s v="ZC-21910"/>
    <s v="Zuschuss Carroll"/>
    <x v="0"/>
    <s v="United States"/>
    <s v="Salem"/>
    <s v="Oregon"/>
    <n v="97301"/>
    <x v="1"/>
    <s v="TEC-PH-10003800"/>
    <x v="2"/>
    <x v="10"/>
    <s v="i.Sound Portable Power - 8000 mAh"/>
    <n v="84784"/>
  </r>
  <r>
    <s v="CA-2015-135405"/>
    <x v="232"/>
    <d v="2015-01-13T00:00:00"/>
    <d v="2015-01-01T00:00:00"/>
    <s v="Standard Class"/>
    <s v="MS-17830"/>
    <s v="Melanie Seite"/>
    <x v="0"/>
    <s v="United States"/>
    <s v="Laredo"/>
    <s v="Texas"/>
    <n v="78041"/>
    <x v="2"/>
    <s v="OFF-AR-10004078"/>
    <x v="1"/>
    <x v="8"/>
    <s v="Newell 312"/>
    <n v="9344"/>
  </r>
  <r>
    <s v="CA-2015-131450"/>
    <x v="233"/>
    <d v="2015-08-15T00:00:00"/>
    <d v="2015-08-01T00:00:00"/>
    <s v="Standard Class"/>
    <s v="LR-16915"/>
    <s v="Lena Radford"/>
    <x v="0"/>
    <s v="United States"/>
    <s v="San Diego"/>
    <s v="California"/>
    <n v="92024"/>
    <x v="1"/>
    <s v="OFF-AP-10004708"/>
    <x v="1"/>
    <x v="6"/>
    <s v="Fellowes Superior 10 Outlet Split Surge Protector"/>
    <n v="7612"/>
  </r>
  <r>
    <s v="CA-2015-149958"/>
    <x v="234"/>
    <d v="2015-03-19T00:00:00"/>
    <d v="2015-03-01T00:00:00"/>
    <s v="Standard Class"/>
    <s v="AS-10240"/>
    <s v="Alan Shonely"/>
    <x v="0"/>
    <s v="United States"/>
    <s v="Tampa"/>
    <s v="Florida"/>
    <n v="33614"/>
    <x v="0"/>
    <s v="OFF-ST-10001490"/>
    <x v="1"/>
    <x v="7"/>
    <s v="Hot File 7-Pocket, Floor Stand"/>
    <n v="142776"/>
  </r>
  <r>
    <s v="US-2015-105767"/>
    <x v="235"/>
    <d v="2015-05-27T00:00:00"/>
    <d v="2015-05-01T00:00:00"/>
    <s v="Standard Class"/>
    <s v="AR-10510"/>
    <s v="Andrew Roberts"/>
    <x v="0"/>
    <s v="United States"/>
    <s v="Philadelphia"/>
    <s v="Pennsylvania"/>
    <n v="19134"/>
    <x v="3"/>
    <s v="OFF-BI-10000848"/>
    <x v="1"/>
    <x v="5"/>
    <s v="Angle-D Ring Binders"/>
    <n v="3282"/>
  </r>
  <r>
    <s v="CA-2017-161816"/>
    <x v="236"/>
    <d v="2017-05-01T00:00:00"/>
    <d v="2017-04-01T00:00:00"/>
    <s v="First Class"/>
    <s v="NB-18655"/>
    <s v="Nona Balk"/>
    <x v="1"/>
    <s v="United States"/>
    <s v="Dallas"/>
    <s v="Texas"/>
    <n v="75217"/>
    <x v="2"/>
    <s v="TEC-PH-10003012"/>
    <x v="2"/>
    <x v="10"/>
    <s v="Nortel Meridian M3904 Professional Digital phone"/>
    <n v="369576"/>
  </r>
  <r>
    <s v="CA-2018-138611"/>
    <x v="237"/>
    <d v="2018-11-17T00:00:00"/>
    <d v="2018-11-01T00:00:00"/>
    <s v="Second Class"/>
    <s v="CK-12595"/>
    <s v="Clytie Kelty"/>
    <x v="0"/>
    <s v="United States"/>
    <s v="Grove City"/>
    <s v="Ohio"/>
    <n v="43123"/>
    <x v="3"/>
    <s v="TEC-PH-10000011"/>
    <x v="2"/>
    <x v="10"/>
    <s v="PureGear Roll-On Screen Protector"/>
    <n v="11994"/>
  </r>
  <r>
    <s v="CA-2018-117947"/>
    <x v="238"/>
    <d v="2018-08-23T00:00:00"/>
    <d v="2018-08-01T00:00:00"/>
    <s v="Second Class"/>
    <s v="NG-18355"/>
    <s v="Nat Gilpin"/>
    <x v="1"/>
    <s v="United States"/>
    <s v="New York City"/>
    <s v="New York"/>
    <n v="10011"/>
    <x v="3"/>
    <s v="FUR-FU-10003849"/>
    <x v="0"/>
    <x v="3"/>
    <s v="DAX Metal Frame, Desktop, Stepped-Edge"/>
    <n v="4048"/>
  </r>
  <r>
    <s v="CA-2016-138009"/>
    <x v="239"/>
    <d v="2016-12-03T00:00:00"/>
    <d v="2016-11-01T00:00:00"/>
    <s v="Standard Class"/>
    <s v="SF-20965"/>
    <s v="Sylvia Foulston"/>
    <x v="1"/>
    <s v="United States"/>
    <s v="Dearborn"/>
    <s v="Michigan"/>
    <n v="48126"/>
    <x v="2"/>
    <s v="FUR-CH-10004853"/>
    <x v="0"/>
    <x v="9"/>
    <s v="Global Manager's Adjustable Task Chair, Storm"/>
    <n v="30196"/>
  </r>
  <r>
    <s v="CA-2018-153787"/>
    <x v="240"/>
    <d v="2018-05-23T00:00:00"/>
    <d v="2018-05-01T00:00:00"/>
    <s v="Standard Class"/>
    <s v="AT-10735"/>
    <s v="Annie Thurman"/>
    <x v="0"/>
    <s v="United States"/>
    <s v="Seattle"/>
    <s v="Washington"/>
    <n v="98115"/>
    <x v="1"/>
    <s v="OFF-AP-10001563"/>
    <x v="1"/>
    <x v="6"/>
    <s v="Belkin Premiere Surge Master II 8-outlet surge protector"/>
    <n v="9716"/>
  </r>
  <r>
    <s v="CA-2018-144694"/>
    <x v="241"/>
    <d v="2018-09-26T00:00:00"/>
    <d v="2018-09-01T00:00:00"/>
    <s v="Second Class"/>
    <s v="BD-11605"/>
    <s v="Brian Dahlen"/>
    <x v="0"/>
    <s v="United States"/>
    <s v="Miami"/>
    <s v="Florida"/>
    <n v="33180"/>
    <x v="0"/>
    <s v="TEC-AC-10002857"/>
    <x v="2"/>
    <x v="12"/>
    <s v="Verbatim 25 GB 6x Blu-ray Single Layer Recordable Disc, 1/Pack"/>
    <n v="1788"/>
  </r>
  <r>
    <s v="CA-2016-168004"/>
    <x v="242"/>
    <d v="2016-10-09T00:00:00"/>
    <d v="2016-10-01T00:00:00"/>
    <s v="Second Class"/>
    <s v="DJ-13420"/>
    <s v="Denny Joy"/>
    <x v="1"/>
    <s v="United States"/>
    <s v="Warner Robins"/>
    <s v="Georgia"/>
    <n v="31088"/>
    <x v="0"/>
    <s v="FUR-CH-10001482"/>
    <x v="0"/>
    <x v="9"/>
    <s v="Office Star - Mesh Screen back chair with Vinyl seat"/>
    <n v="39294"/>
  </r>
  <r>
    <s v="US-2017-123470"/>
    <x v="243"/>
    <d v="2017-08-21T00:00:00"/>
    <d v="2017-08-01T00:00:00"/>
    <s v="Standard Class"/>
    <s v="ME-17725"/>
    <s v="Max Engle"/>
    <x v="0"/>
    <s v="United States"/>
    <s v="Aurora"/>
    <s v="Colorado"/>
    <n v="80013"/>
    <x v="1"/>
    <s v="OFF-BI-10001989"/>
    <x v="1"/>
    <x v="5"/>
    <s v="Premium Transparent Presentation Covers by GBC"/>
    <n v="18882"/>
  </r>
  <r>
    <s v="CA-2017-115917"/>
    <x v="244"/>
    <d v="2017-05-25T00:00:00"/>
    <d v="2017-05-01T00:00:00"/>
    <s v="Standard Class"/>
    <s v="RB-19465"/>
    <s v="Rick Bensley"/>
    <x v="2"/>
    <s v="United States"/>
    <s v="Vallejo"/>
    <s v="California"/>
    <n v="94591"/>
    <x v="1"/>
    <s v="FUR-FU-10000576"/>
    <x v="0"/>
    <x v="3"/>
    <s v="Luxo Professional Fluorescent Magnifier Lamp with Clamp-Mount Base"/>
    <n v="10492"/>
  </r>
  <r>
    <s v="CA-2018-167913"/>
    <x v="245"/>
    <d v="2018-08-03T00:00:00"/>
    <d v="2018-07-01T00:00:00"/>
    <s v="Second Class"/>
    <s v="JL-15835"/>
    <s v="John Lee"/>
    <x v="0"/>
    <s v="United States"/>
    <s v="Mission Viejo"/>
    <s v="California"/>
    <n v="92691"/>
    <x v="1"/>
    <s v="OFF-ST-10000585"/>
    <x v="1"/>
    <x v="7"/>
    <s v="Economy Rollaway Files"/>
    <n v="3304"/>
  </r>
  <r>
    <s v="US-2018-127719"/>
    <x v="246"/>
    <d v="2018-07-25T00:00:00"/>
    <d v="2018-07-01T00:00:00"/>
    <s v="Standard Class"/>
    <s v="TW-21025"/>
    <s v="Tamara Willingham"/>
    <x v="2"/>
    <s v="United States"/>
    <s v="Plainfield"/>
    <s v="New Jersey"/>
    <n v="7060"/>
    <x v="3"/>
    <s v="OFF-PA-10001934"/>
    <x v="1"/>
    <x v="4"/>
    <s v="Xerox 1993"/>
    <n v="648"/>
  </r>
  <r>
    <s v="CA-2018-126221"/>
    <x v="247"/>
    <d v="2019-01-05T00:00:00"/>
    <d v="2018-12-01T00:00:00"/>
    <s v="Standard Class"/>
    <s v="CC-12430"/>
    <s v="Chuck Clark"/>
    <x v="2"/>
    <s v="United States"/>
    <s v="Columbus"/>
    <s v="Indiana"/>
    <n v="47201"/>
    <x v="2"/>
    <s v="OFF-AP-10002457"/>
    <x v="1"/>
    <x v="6"/>
    <s v="Eureka The Boss Plus 12-Amp Hard Box Upright Vacuum, Red"/>
    <n v="2093"/>
  </r>
  <r>
    <s v="CA-2017-132661"/>
    <x v="248"/>
    <d v="2017-10-29T00:00:00"/>
    <d v="2017-10-01T00:00:00"/>
    <s v="Standard Class"/>
    <s v="SR-20740"/>
    <s v="Steven Roelle"/>
    <x v="2"/>
    <s v="United States"/>
    <s v="New York City"/>
    <s v="New York"/>
    <n v="10024"/>
    <x v="3"/>
    <s v="OFF-PA-10000482"/>
    <x v="1"/>
    <x v="4"/>
    <s v="Snap-A-Way Black Print Carbonless Ruled Speed Letter, Triplicate"/>
    <n v="3794"/>
  </r>
  <r>
    <s v="CA-2018-140844"/>
    <x v="249"/>
    <d v="2018-06-23T00:00:00"/>
    <d v="2018-06-01T00:00:00"/>
    <s v="Standard Class"/>
    <s v="AR-10405"/>
    <s v="Allen Rosenblatt"/>
    <x v="1"/>
    <s v="United States"/>
    <s v="New York City"/>
    <s v="New York"/>
    <n v="10035"/>
    <x v="3"/>
    <s v="OFF-PA-10003892"/>
    <x v="1"/>
    <x v="4"/>
    <s v="Xerox 1943"/>
    <n v="9782"/>
  </r>
  <r>
    <s v="CA-2017-137239"/>
    <x v="250"/>
    <d v="2017-08-28T00:00:00"/>
    <d v="2017-08-01T00:00:00"/>
    <s v="Standard Class"/>
    <s v="CR-12730"/>
    <s v="Craig Reiter"/>
    <x v="0"/>
    <s v="United States"/>
    <s v="Columbus"/>
    <s v="Ohio"/>
    <n v="43229"/>
    <x v="3"/>
    <s v="OFF-AP-10002439"/>
    <x v="1"/>
    <x v="6"/>
    <s v="Tripp Lite Isotel 8 Ultra 8 Outlet Metal Surge"/>
    <n v="113552"/>
  </r>
  <r>
    <s v="US-2017-156097"/>
    <x v="251"/>
    <d v="2017-09-19T00:00:00"/>
    <d v="2017-09-01T00:00:00"/>
    <s v="Same Day"/>
    <s v="EH-14125"/>
    <s v="Eugene Hildebrand"/>
    <x v="2"/>
    <s v="United States"/>
    <s v="Aurora"/>
    <s v="Illinois"/>
    <n v="60505"/>
    <x v="2"/>
    <s v="FUR-CH-10001215"/>
    <x v="0"/>
    <x v="9"/>
    <s v="Global Troy Executive Leather Low-Back Tilter"/>
    <n v="701372"/>
  </r>
  <r>
    <s v="CA-2016-146563"/>
    <x v="252"/>
    <d v="2016-08-28T00:00:00"/>
    <d v="2016-08-01T00:00:00"/>
    <s v="Standard Class"/>
    <s v="CB-12025"/>
    <s v="Cassandra Brandow"/>
    <x v="0"/>
    <s v="United States"/>
    <s v="Arlington"/>
    <s v="Texas"/>
    <n v="76017"/>
    <x v="2"/>
    <s v="OFF-ST-10001490"/>
    <x v="1"/>
    <x v="7"/>
    <s v="Hot File 7-Pocket, Floor Stand"/>
    <n v="999432"/>
  </r>
  <r>
    <s v="CA-2017-123666"/>
    <x v="253"/>
    <d v="2017-03-30T00:00:00"/>
    <d v="2017-03-01T00:00:00"/>
    <s v="Standard Class"/>
    <s v="SP-20545"/>
    <s v="Sibella Parks"/>
    <x v="1"/>
    <s v="United States"/>
    <s v="New York City"/>
    <s v="New York"/>
    <n v="10011"/>
    <x v="3"/>
    <s v="OFF-ST-10001522"/>
    <x v="1"/>
    <x v="7"/>
    <s v="Gould Plastics 18-Pocket Panel Bin, 34w x 5-1/4d x 20-1/2h"/>
    <n v="45995"/>
  </r>
  <r>
    <s v="CA-2017-143308"/>
    <x v="254"/>
    <d v="2017-11-04T00:00:00"/>
    <d v="2017-11-0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74"/>
  </r>
  <r>
    <s v="US-2018-106663"/>
    <x v="255"/>
    <d v="2018-06-13T00:00:00"/>
    <d v="2018-06-01T00:00:00"/>
    <s v="Standard Class"/>
    <s v="MO-17800"/>
    <s v="Meg O'Connel"/>
    <x v="2"/>
    <s v="United States"/>
    <s v="Chicago"/>
    <s v="Illinois"/>
    <n v="60653"/>
    <x v="2"/>
    <s v="FUR-FU-10002759"/>
    <x v="0"/>
    <x v="3"/>
    <s v="12-1/2 Diameter Round Wall Clock"/>
    <n v="23976"/>
  </r>
  <r>
    <s v="CA-2018-130351"/>
    <x v="256"/>
    <d v="2018-12-08T00:00:00"/>
    <d v="2018-12-01T00:00:00"/>
    <s v="First Class"/>
    <s v="RB-19570"/>
    <s v="Rob Beeghly"/>
    <x v="0"/>
    <s v="United States"/>
    <s v="Columbus"/>
    <s v="Indiana"/>
    <n v="47201"/>
    <x v="2"/>
    <s v="OFF-AP-10004532"/>
    <x v="1"/>
    <x v="6"/>
    <s v="Kensington 6 Outlet Guardian Standard Surge Protector"/>
    <n v="6144"/>
  </r>
  <r>
    <s v="US-2018-119438"/>
    <x v="257"/>
    <d v="2018-03-23T00:00:00"/>
    <d v="2018-03-01T00:00:00"/>
    <s v="Standard Class"/>
    <s v="CD-11980"/>
    <s v="Carol Darley"/>
    <x v="0"/>
    <s v="United States"/>
    <s v="Tyler"/>
    <s v="Texas"/>
    <n v="75701"/>
    <x v="2"/>
    <s v="OFF-AP-10000804"/>
    <x v="1"/>
    <x v="6"/>
    <s v="Hoover Portapower Portable Vacuum"/>
    <n v="2688"/>
  </r>
  <r>
    <s v="CA-2017-164511"/>
    <x v="258"/>
    <d v="2017-11-24T00:00:00"/>
    <d v="2017-11-01T00:00:00"/>
    <s v="Standard Class"/>
    <s v="DJ-13630"/>
    <s v="Doug Jacobs"/>
    <x v="0"/>
    <s v="United States"/>
    <s v="New York City"/>
    <s v="New York"/>
    <n v="10024"/>
    <x v="3"/>
    <s v="OFF-BI-10003305"/>
    <x v="1"/>
    <x v="5"/>
    <s v="Avery Hanging File Binders"/>
    <n v="14352"/>
  </r>
  <r>
    <s v="US-2018-168116"/>
    <x v="259"/>
    <d v="2018-11-04T00:00:00"/>
    <d v="2018-11-01T00:00:00"/>
    <s v="Same Day"/>
    <s v="GT-14635"/>
    <s v="Grant Thornton"/>
    <x v="1"/>
    <s v="United States"/>
    <s v="Burlington"/>
    <s v="North Carolina"/>
    <n v="27217"/>
    <x v="0"/>
    <s v="TEC-MA-10004125"/>
    <x v="2"/>
    <x v="14"/>
    <s v="Cubify CubeX 3D Printer Triple Head Print"/>
    <n v="799998"/>
  </r>
  <r>
    <s v="CA-2015-157784"/>
    <x v="260"/>
    <d v="2015-07-08T00:00:00"/>
    <d v="2015-07-01T00:00:00"/>
    <s v="First Class"/>
    <s v="MC-17845"/>
    <s v="Michael Chen"/>
    <x v="0"/>
    <s v="United States"/>
    <s v="Jackson"/>
    <s v="Mississippi"/>
    <n v="39212"/>
    <x v="0"/>
    <s v="TEC-AC-10003911"/>
    <x v="2"/>
    <x v="12"/>
    <s v="NETGEAR AC1750 Dual Band Gigabit Smart WiFi Router"/>
    <n v="47997"/>
  </r>
  <r>
    <s v="US-2015-117135"/>
    <x v="261"/>
    <d v="2015-06-23T00:00:00"/>
    <d v="2015-06-01T00:00:00"/>
    <s v="Second Class"/>
    <s v="NP-18325"/>
    <s v="Naresj Patel"/>
    <x v="0"/>
    <s v="United States"/>
    <s v="Waynesboro"/>
    <s v="Virginia"/>
    <n v="22980"/>
    <x v="0"/>
    <s v="FUR-FU-10004071"/>
    <x v="0"/>
    <x v="3"/>
    <s v="Luxo Professional Magnifying Clamp-On Fluorescent Lamps"/>
    <n v="10401"/>
  </r>
  <r>
    <s v="CA-2016-131534"/>
    <x v="262"/>
    <d v="2016-04-02T00:00:00"/>
    <d v="2016-03-01T00:00:00"/>
    <s v="Standard Class"/>
    <s v="AB-10165"/>
    <s v="Alan Barnes"/>
    <x v="0"/>
    <s v="United States"/>
    <s v="Los Angeles"/>
    <s v="California"/>
    <n v="90036"/>
    <x v="1"/>
    <s v="TEC-AC-10002253"/>
    <x v="2"/>
    <x v="12"/>
    <s v="Imation Bio 8GB USB Flash Drive Imation Corp"/>
    <n v="16624"/>
  </r>
  <r>
    <s v="CA-2016-119291"/>
    <x v="263"/>
    <d v="2016-05-17T00:00:00"/>
    <d v="2016-05-01T00:00:00"/>
    <s v="First Class"/>
    <s v="JO-15550"/>
    <s v="Jesus Ocampo"/>
    <x v="2"/>
    <s v="United States"/>
    <s v="Chester"/>
    <s v="Pennsylvania"/>
    <n v="19013"/>
    <x v="3"/>
    <s v="OFF-AR-10003373"/>
    <x v="1"/>
    <x v="8"/>
    <s v="Boston School Pro Electric Pencil Sharpener, 1670"/>
    <n v="198272"/>
  </r>
  <r>
    <s v="CA-2018-114552"/>
    <x v="264"/>
    <d v="2018-09-08T00:00:00"/>
    <d v="2018-09-01T00:00:00"/>
    <s v="Standard Class"/>
    <s v="Dl-13600"/>
    <s v="Dorris liebe"/>
    <x v="1"/>
    <s v="United States"/>
    <s v="Cleveland"/>
    <s v="Ohio"/>
    <n v="44105"/>
    <x v="3"/>
    <s v="FUR-FU-10002960"/>
    <x v="0"/>
    <x v="3"/>
    <s v="Eldon 200 Class Desk Accessories, Burgundy"/>
    <n v="15072"/>
  </r>
  <r>
    <s v="CA-2016-142027"/>
    <x v="265"/>
    <d v="2016-04-14T00:00:00"/>
    <d v="2016-04-01T00:00:00"/>
    <s v="Standard Class"/>
    <s v="JK-15370"/>
    <s v="Jay Kimmel"/>
    <x v="0"/>
    <s v="United States"/>
    <s v="Long Beach"/>
    <s v="California"/>
    <n v="90805"/>
    <x v="1"/>
    <s v="FUR-TA-10002774"/>
    <x v="0"/>
    <x v="2"/>
    <s v="Laminate Occasional Tables"/>
    <n v="369912"/>
  </r>
  <r>
    <s v="CA-2015-112158"/>
    <x v="266"/>
    <d v="2015-12-04T00:00:00"/>
    <d v="2015-12-01T00:00:00"/>
    <s v="First Class"/>
    <s v="DP-13165"/>
    <s v="David Philippe"/>
    <x v="0"/>
    <s v="United States"/>
    <s v="New York City"/>
    <s v="New York"/>
    <n v="10035"/>
    <x v="3"/>
    <s v="TEC-AC-10003628"/>
    <x v="2"/>
    <x v="12"/>
    <s v="Logitech 910-002974 M325 Wireless Mouse for Web Scrolling"/>
    <n v="11996"/>
  </r>
  <r>
    <s v="CA-2015-113887"/>
    <x v="267"/>
    <d v="2015-04-07T00:00:00"/>
    <d v="2015-04-01T00:00:00"/>
    <s v="First Class"/>
    <s v="TH-21550"/>
    <s v="Tracy Hopkins"/>
    <x v="2"/>
    <s v="United States"/>
    <s v="New York City"/>
    <s v="New York"/>
    <n v="10035"/>
    <x v="3"/>
    <s v="OFF-PA-10004071"/>
    <x v="1"/>
    <x v="4"/>
    <s v="Eaton Premium Continuous-Feed Paper, 25% Cotton, Letter Size, White, 1000 Shts/Box"/>
    <n v="5548"/>
  </r>
  <r>
    <s v="CA-2015-153150"/>
    <x v="268"/>
    <d v="2015-07-06T00:00:00"/>
    <d v="2015-07-01T00:00:00"/>
    <s v="Second Class"/>
    <s v="Dl-13600"/>
    <s v="Dorris liebe"/>
    <x v="1"/>
    <s v="United States"/>
    <s v="Seattle"/>
    <s v="Washington"/>
    <n v="98105"/>
    <x v="1"/>
    <s v="OFF-BI-10003355"/>
    <x v="1"/>
    <x v="5"/>
    <s v="Cardinal Holdit Business Card Pockets"/>
    <n v="1992"/>
  </r>
  <r>
    <s v="CA-2015-130092"/>
    <x v="269"/>
    <d v="2015-01-14T00:00:00"/>
    <d v="2015-01-01T00:00:00"/>
    <s v="First Class"/>
    <s v="SV-20365"/>
    <s v="Seth Vernon"/>
    <x v="0"/>
    <s v="United States"/>
    <s v="Dover"/>
    <s v="Delaware"/>
    <n v="19901"/>
    <x v="3"/>
    <s v="FUR-FU-10000010"/>
    <x v="0"/>
    <x v="3"/>
    <s v="DAX Value U-Channel Document Frames, Easel Back"/>
    <n v="994"/>
  </r>
  <r>
    <s v="CA-2015-104472"/>
    <x v="270"/>
    <d v="2015-06-07T00:00:00"/>
    <d v="2015-06-01T00:00:00"/>
    <s v="Standard Class"/>
    <s v="CK-12325"/>
    <s v="Christine Kargatis"/>
    <x v="2"/>
    <s v="United States"/>
    <s v="Orem"/>
    <s v="Utah"/>
    <n v="84057"/>
    <x v="1"/>
    <s v="OFF-BI-10001658"/>
    <x v="1"/>
    <x v="5"/>
    <s v="GBC Standard Therm-A-Bind Covers"/>
    <n v="59808"/>
  </r>
  <r>
    <s v="CA-2017-112942"/>
    <x v="271"/>
    <d v="2017-02-18T00:00:00"/>
    <d v="2017-02-01T00:00:00"/>
    <s v="Standard Class"/>
    <s v="RD-19810"/>
    <s v="Ross DeVincentis"/>
    <x v="2"/>
    <s v="United States"/>
    <s v="Los Angeles"/>
    <s v="California"/>
    <n v="90045"/>
    <x v="1"/>
    <s v="OFF-PA-10004092"/>
    <x v="1"/>
    <x v="4"/>
    <s v="Tops Green Bar Computer Printout Paper"/>
    <n v="14682"/>
  </r>
  <r>
    <s v="CA-2017-142335"/>
    <x v="272"/>
    <d v="2017-12-19T00:00:00"/>
    <d v="2017-12-01T00:00:00"/>
    <s v="Standard Class"/>
    <s v="MP-17965"/>
    <s v="Michael Paige"/>
    <x v="1"/>
    <s v="United States"/>
    <s v="Detroit"/>
    <s v="Michigan"/>
    <n v="48205"/>
    <x v="2"/>
    <s v="FUR-TA-10000198"/>
    <x v="0"/>
    <x v="2"/>
    <s v="Chromcraft Bull-Nose Wood Oval Conference Tables &amp; Bases"/>
    <n v="165294"/>
  </r>
  <r>
    <s v="CA-2015-117429"/>
    <x v="273"/>
    <d v="2015-10-13T00:00:00"/>
    <d v="2015-10-01T00:00:00"/>
    <s v="Standard Class"/>
    <s v="MR-17545"/>
    <s v="Mathew Reese"/>
    <x v="2"/>
    <s v="United States"/>
    <s v="Philadelphia"/>
    <s v="Pennsylvania"/>
    <n v="19140"/>
    <x v="3"/>
    <s v="FUR-FU-10000222"/>
    <x v="0"/>
    <x v="3"/>
    <s v="Seth Thomas 16&quot; Steel Case Clock"/>
    <n v="12992"/>
  </r>
  <r>
    <s v="CA-2017-114713"/>
    <x v="274"/>
    <d v="2017-07-12T00:00:00"/>
    <d v="2017-07-01T00:00:00"/>
    <s v="Standard Class"/>
    <s v="SC-20695"/>
    <s v="Steve Chapman"/>
    <x v="1"/>
    <s v="United States"/>
    <s v="Hialeah"/>
    <s v="Florida"/>
    <n v="33012"/>
    <x v="0"/>
    <s v="OFF-SU-10004664"/>
    <x v="1"/>
    <x v="16"/>
    <s v="Acme Softgrip Scissors"/>
    <n v="45584"/>
  </r>
  <r>
    <s v="US-2017-150861"/>
    <x v="275"/>
    <d v="2017-12-06T00:00:00"/>
    <d v="2017-12-01T00:00:00"/>
    <s v="First Class"/>
    <s v="EG-13900"/>
    <s v="Emily Grady"/>
    <x v="0"/>
    <s v="United States"/>
    <s v="Oceanside"/>
    <s v="New York"/>
    <n v="11572"/>
    <x v="3"/>
    <s v="OFF-PA-10001954"/>
    <x v="1"/>
    <x v="4"/>
    <s v="Xerox 1964"/>
    <n v="18272"/>
  </r>
  <r>
    <s v="CA-2018-131954"/>
    <x v="276"/>
    <d v="2018-01-25T00:00:00"/>
    <d v="2018-01-01T00:00:00"/>
    <s v="Standard Class"/>
    <s v="DS-13030"/>
    <s v="Darrin Sayre"/>
    <x v="2"/>
    <s v="United States"/>
    <s v="Seattle"/>
    <s v="Washington"/>
    <n v="98115"/>
    <x v="1"/>
    <s v="OFF-ST-10000736"/>
    <x v="1"/>
    <x v="7"/>
    <s v="Carina Double Wide Media Storage Towers in Natural &amp; Black"/>
    <n v="24294"/>
  </r>
  <r>
    <s v="CA-2015-112326"/>
    <x v="277"/>
    <d v="2015-01-08T00:00:00"/>
    <d v="2015-01-01T00:00:00"/>
    <s v="Standard Class"/>
    <s v="PO-19195"/>
    <s v="Phillina Ober"/>
    <x v="2"/>
    <s v="United States"/>
    <s v="Naperville"/>
    <s v="Illinois"/>
    <n v="60540"/>
    <x v="2"/>
    <s v="OFF-LA-10003223"/>
    <x v="1"/>
    <x v="1"/>
    <s v="Avery 508"/>
    <n v="11784"/>
  </r>
  <r>
    <s v="US-2017-146710"/>
    <x v="278"/>
    <d v="2017-09-01T00:00:00"/>
    <d v="2017-08-01T00:00:00"/>
    <s v="Standard Class"/>
    <s v="SS-20875"/>
    <s v="Sung Shariari"/>
    <x v="0"/>
    <s v="United States"/>
    <s v="Dallas"/>
    <s v="Texas"/>
    <n v="75220"/>
    <x v="2"/>
    <s v="OFF-SU-10004498"/>
    <x v="1"/>
    <x v="16"/>
    <s v="Martin-Yale Premier Letter Opener"/>
    <n v="5152"/>
  </r>
  <r>
    <s v="CA-2015-124429"/>
    <x v="279"/>
    <d v="2015-05-27T00:00:00"/>
    <d v="2015-05-01T00:00:00"/>
    <s v="Same Day"/>
    <s v="MH-17785"/>
    <s v="Maya Herman"/>
    <x v="1"/>
    <s v="United States"/>
    <s v="San Diego"/>
    <s v="California"/>
    <n v="92105"/>
    <x v="1"/>
    <s v="FUR-TA-10002607"/>
    <x v="0"/>
    <x v="2"/>
    <s v="KI Conference Tables"/>
    <n v="56712"/>
  </r>
  <r>
    <s v="CA-2018-126074"/>
    <x v="280"/>
    <d v="2018-10-06T00:00:00"/>
    <d v="2018-10-01T00:00:00"/>
    <s v="Standard Class"/>
    <s v="RF-19735"/>
    <s v="Roland Fjeld"/>
    <x v="0"/>
    <s v="United States"/>
    <s v="Trenton"/>
    <s v="Michigan"/>
    <n v="48183"/>
    <x v="2"/>
    <s v="OFF-BI-10003638"/>
    <x v="1"/>
    <x v="5"/>
    <s v="GBC Durable Plastic Covers"/>
    <n v="5805"/>
  </r>
  <r>
    <s v="CA-2017-110499"/>
    <x v="281"/>
    <d v="2017-04-09T00:00:00"/>
    <d v="2017-04-01T00:00:00"/>
    <s v="First Class"/>
    <s v="YC-21895"/>
    <s v="Yoseph Carroll"/>
    <x v="1"/>
    <s v="United States"/>
    <s v="San Francisco"/>
    <s v="California"/>
    <n v="94110"/>
    <x v="1"/>
    <s v="TEC-CO-10002095"/>
    <x v="2"/>
    <x v="15"/>
    <s v="Hewlett Packard 610 Color Digital Copier / Printer"/>
    <n v="1199976"/>
  </r>
  <r>
    <s v="CA-2015-106803"/>
    <x v="282"/>
    <d v="2016-01-02T00:00:00"/>
    <d v="2015-12-01T00:00:00"/>
    <s v="Standard Class"/>
    <s v="DC-13285"/>
    <s v="Debra Catini"/>
    <x v="0"/>
    <s v="United States"/>
    <s v="Cottage Grove"/>
    <s v="Minnesota"/>
    <n v="55016"/>
    <x v="2"/>
    <s v="OFF-ST-10002444"/>
    <x v="1"/>
    <x v="7"/>
    <s v="Recycled Eldon Regeneration Jumbo File"/>
    <n v="2456"/>
  </r>
  <r>
    <s v="CA-2018-117240"/>
    <x v="283"/>
    <d v="2018-07-28T00:00:00"/>
    <d v="2018-07-01T00:00:00"/>
    <s v="Standard Class"/>
    <s v="CP-12340"/>
    <s v="Christine Phan"/>
    <x v="1"/>
    <s v="United States"/>
    <s v="New York City"/>
    <s v="New York"/>
    <n v="10009"/>
    <x v="3"/>
    <s v="OFF-BI-10000848"/>
    <x v="1"/>
    <x v="5"/>
    <s v="Angle-D Ring Binders"/>
    <n v="13128"/>
  </r>
  <r>
    <s v="CA-2016-112319"/>
    <x v="284"/>
    <d v="2016-09-05T00:00:00"/>
    <d v="2016-08-01T00:00:00"/>
    <s v="Standard Class"/>
    <s v="AR-10510"/>
    <s v="Andrew Roberts"/>
    <x v="0"/>
    <s v="United States"/>
    <s v="Los Angeles"/>
    <s v="California"/>
    <n v="90004"/>
    <x v="1"/>
    <s v="OFF-PA-10003441"/>
    <x v="1"/>
    <x v="4"/>
    <s v="Xerox 226"/>
    <n v="5832"/>
  </r>
  <r>
    <s v="CA-2016-114923"/>
    <x v="285"/>
    <d v="2016-02-13T00:00:00"/>
    <d v="2016-02-01T00:00:00"/>
    <s v="Standard Class"/>
    <s v="LH-17020"/>
    <s v="Lisa Hazard"/>
    <x v="0"/>
    <s v="United States"/>
    <s v="Columbus"/>
    <s v="Ohio"/>
    <n v="43229"/>
    <x v="3"/>
    <s v="TEC-PH-10003931"/>
    <x v="2"/>
    <x v="10"/>
    <s v="JBL Micro Wireless Portable Bluetooth Speaker"/>
    <n v="107982"/>
  </r>
  <r>
    <s v="CA-2015-162775"/>
    <x v="286"/>
    <d v="2015-01-15T00:00:00"/>
    <d v="2015-01-01T00:00:00"/>
    <s v="Second Class"/>
    <s v="CS-12250"/>
    <s v="Chris Selesnick"/>
    <x v="1"/>
    <s v="United States"/>
    <s v="Bossier City"/>
    <s v="Louisiana"/>
    <n v="71111"/>
    <x v="0"/>
    <s v="OFF-EN-10001990"/>
    <x v="1"/>
    <x v="11"/>
    <s v="Staple envelope"/>
    <n v="1136"/>
  </r>
  <r>
    <s v="CA-2015-106810"/>
    <x v="287"/>
    <d v="2015-05-20T00:00:00"/>
    <d v="2015-05-01T00:00:00"/>
    <s v="Standard Class"/>
    <s v="AJ-10795"/>
    <s v="Anthony Johnson"/>
    <x v="1"/>
    <s v="United States"/>
    <s v="Saint Petersburg"/>
    <s v="Florida"/>
    <n v="33710"/>
    <x v="0"/>
    <s v="FUR-FU-10004306"/>
    <x v="0"/>
    <x v="3"/>
    <s v="Electrix Halogen Magnifier Lamp"/>
    <n v="31088"/>
  </r>
  <r>
    <s v="CA-2017-157245"/>
    <x v="288"/>
    <d v="2017-05-24T00:00:00"/>
    <d v="2017-05-01T00:00:00"/>
    <s v="Standard Class"/>
    <s v="LE-16810"/>
    <s v="Laurel Elliston"/>
    <x v="0"/>
    <s v="United States"/>
    <s v="Arlington"/>
    <s v="Virginia"/>
    <n v="22204"/>
    <x v="0"/>
    <s v="FUR-CH-10003746"/>
    <x v="0"/>
    <x v="9"/>
    <s v="Hon 4070 Series Pagoda Round Back Stacking Chairs"/>
    <n v="64196"/>
  </r>
  <r>
    <s v="CA-2018-104220"/>
    <x v="289"/>
    <d v="2018-02-05T00:00:00"/>
    <d v="2018-01-01T00:00:00"/>
    <s v="Standard Class"/>
    <s v="BV-11245"/>
    <s v="Benjamin Venier"/>
    <x v="1"/>
    <s v="United States"/>
    <s v="Des Moines"/>
    <s v="Iowa"/>
    <n v="50315"/>
    <x v="2"/>
    <s v="OFF-BI-10001036"/>
    <x v="1"/>
    <x v="5"/>
    <s v="Cardinal EasyOpen D-Ring Binders"/>
    <n v="1828"/>
  </r>
  <r>
    <s v="CA-2015-165974"/>
    <x v="290"/>
    <d v="2015-07-06T00:00:00"/>
    <d v="2015-06-01T00:00:00"/>
    <s v="Standard Class"/>
    <s v="DL-12865"/>
    <s v="Dan Lawera"/>
    <x v="0"/>
    <s v="United States"/>
    <s v="Cincinnati"/>
    <s v="Ohio"/>
    <n v="45231"/>
    <x v="3"/>
    <s v="OFF-AR-10003405"/>
    <x v="1"/>
    <x v="8"/>
    <s v="Dixon My First Ticonderoga Pencil, #2"/>
    <n v="3276"/>
  </r>
  <r>
    <s v="CA-2016-144267"/>
    <x v="291"/>
    <d v="2016-08-23T00:00:00"/>
    <d v="2016-08-01T00:00:00"/>
    <s v="First Class"/>
    <s v="NZ-18565"/>
    <s v="Nick Zandusky"/>
    <x v="2"/>
    <s v="United States"/>
    <s v="San Francisco"/>
    <s v="California"/>
    <n v="94110"/>
    <x v="1"/>
    <s v="FUR-CH-10002335"/>
    <x v="0"/>
    <x v="9"/>
    <s v="Hon GuestStacker Chair"/>
    <n v="544008"/>
  </r>
  <r>
    <s v="US-2016-157014"/>
    <x v="292"/>
    <d v="2016-10-06T00:00:00"/>
    <d v="2016-10-01T00:00:00"/>
    <s v="Second Class"/>
    <s v="BM-11785"/>
    <s v="Bryan Mills"/>
    <x v="0"/>
    <s v="United States"/>
    <s v="Columbus"/>
    <s v="Ohio"/>
    <n v="43229"/>
    <x v="3"/>
    <s v="OFF-BI-10001098"/>
    <x v="1"/>
    <x v="5"/>
    <s v="Acco D-Ring Binder w/DublLock"/>
    <n v="3207"/>
  </r>
  <r>
    <s v="CA-2016-154921"/>
    <x v="293"/>
    <d v="2016-05-28T00:00:00"/>
    <d v="2016-05-01T00:00:00"/>
    <s v="Standard Class"/>
    <s v="EA-14035"/>
    <s v="Erin Ashbrook"/>
    <x v="1"/>
    <s v="United States"/>
    <s v="Columbia"/>
    <s v="South Carolina"/>
    <n v="29203"/>
    <x v="0"/>
    <s v="OFF-EN-10000056"/>
    <x v="1"/>
    <x v="11"/>
    <s v="Cameo Buff Policy Envelopes"/>
    <n v="18669"/>
  </r>
  <r>
    <s v="CA-2018-129567"/>
    <x v="294"/>
    <d v="2018-03-21T00:00:00"/>
    <d v="2018-03-01T00:00:00"/>
    <s v="Second Class"/>
    <s v="CL-12565"/>
    <s v="Clay Ludtke"/>
    <x v="0"/>
    <s v="United States"/>
    <s v="Lancaster"/>
    <s v="California"/>
    <n v="93534"/>
    <x v="1"/>
    <s v="OFF-BI-10000014"/>
    <x v="1"/>
    <x v="5"/>
    <s v="Heavy-Duty E-Z-D Binders"/>
    <n v="17456"/>
  </r>
  <r>
    <s v="CA-2016-154620"/>
    <x v="295"/>
    <d v="2016-12-16T00:00:00"/>
    <d v="2016-12-01T00:00:00"/>
    <s v="Standard Class"/>
    <s v="LT-17110"/>
    <s v="Liz Thompson"/>
    <x v="0"/>
    <s v="United States"/>
    <s v="Lancaster"/>
    <s v="California"/>
    <n v="93534"/>
    <x v="1"/>
    <s v="FUR-CH-10004675"/>
    <x v="0"/>
    <x v="9"/>
    <s v="Lifetime Advantage Folding Chairs, 4/Carton"/>
    <n v="348928"/>
  </r>
  <r>
    <s v="CA-2018-151428"/>
    <x v="296"/>
    <d v="2018-09-26T00:00:00"/>
    <d v="2018-09-01T00:00:00"/>
    <s v="Standard Class"/>
    <s v="RH-19495"/>
    <s v="Rick Hansen"/>
    <x v="0"/>
    <s v="United States"/>
    <s v="Rochester"/>
    <s v="Minnesota"/>
    <n v="55901"/>
    <x v="2"/>
    <s v="OFF-BI-10000546"/>
    <x v="1"/>
    <x v="5"/>
    <s v="Avery Durable Binders"/>
    <n v="2016"/>
  </r>
  <r>
    <s v="CA-2018-105809"/>
    <x v="297"/>
    <d v="2018-02-23T00:00:00"/>
    <d v="2018-02-01T00:00:00"/>
    <s v="First Class"/>
    <s v="HW-14935"/>
    <s v="Helen Wasserman"/>
    <x v="1"/>
    <s v="United States"/>
    <s v="San Diego"/>
    <s v="California"/>
    <n v="92105"/>
    <x v="1"/>
    <s v="FUR-FU-10004090"/>
    <x v="0"/>
    <x v="3"/>
    <s v="Executive Impressions 14&quot; Contract Wall Clock"/>
    <n v="2223"/>
  </r>
  <r>
    <s v="CA-2017-136133"/>
    <x v="298"/>
    <d v="2017-08-23T00:00:00"/>
    <d v="2017-08-01T00:00:00"/>
    <s v="Second Class"/>
    <s v="HW-14935"/>
    <s v="Helen Wasserman"/>
    <x v="1"/>
    <s v="United States"/>
    <s v="New York City"/>
    <s v="New York"/>
    <n v="10024"/>
    <x v="3"/>
    <s v="OFF-AP-10000576"/>
    <x v="1"/>
    <x v="6"/>
    <s v="Belkin 7 Outlet SurgeMaster II"/>
    <n v="35532"/>
  </r>
  <r>
    <s v="CA-2017-115504"/>
    <x v="299"/>
    <d v="2017-03-17T00:00:00"/>
    <d v="2017-03-01T00:00:00"/>
    <s v="Standard Class"/>
    <s v="MC-18130"/>
    <s v="Mike Caudle"/>
    <x v="1"/>
    <s v="United States"/>
    <s v="Monroe"/>
    <s v="Louisiana"/>
    <n v="71203"/>
    <x v="0"/>
    <s v="OFF-PA-10003953"/>
    <x v="1"/>
    <x v="4"/>
    <s v="Xerox 218"/>
    <n v="1296"/>
  </r>
  <r>
    <s v="CA-2018-135783"/>
    <x v="300"/>
    <d v="2018-04-24T00:00:00"/>
    <d v="2018-04-01T00:00:00"/>
    <s v="First Class"/>
    <s v="GM-14440"/>
    <s v="Gary McGarr"/>
    <x v="0"/>
    <s v="United States"/>
    <s v="San Francisco"/>
    <s v="California"/>
    <n v="94122"/>
    <x v="1"/>
    <s v="FUR-FU-10000794"/>
    <x v="0"/>
    <x v="3"/>
    <s v="Eldon Stackable Tray, Side-Load, Legal, Smoke"/>
    <n v="1828"/>
  </r>
  <r>
    <s v="CA-2015-134313"/>
    <x v="301"/>
    <d v="2015-11-07T00:00:00"/>
    <d v="2015-11-01T00:00:00"/>
    <s v="Standard Class"/>
    <s v="RA-19915"/>
    <s v="Russell Applegate"/>
    <x v="0"/>
    <s v="United States"/>
    <s v="Denver"/>
    <s v="Colorado"/>
    <n v="80219"/>
    <x v="1"/>
    <s v="OFF-AR-10001897"/>
    <x v="1"/>
    <x v="8"/>
    <s v="Model L Table or Wall-Mount Pencil Sharpener"/>
    <n v="43176"/>
  </r>
  <r>
    <s v="CA-2016-140921"/>
    <x v="302"/>
    <d v="2016-02-05T00:00:00"/>
    <d v="2016-02-01T00:00:00"/>
    <s v="First Class"/>
    <s v="AA-10375"/>
    <s v="Allen Armold"/>
    <x v="0"/>
    <s v="United States"/>
    <s v="Omaha"/>
    <s v="Nebraska"/>
    <n v="68104"/>
    <x v="2"/>
    <s v="FUR-FU-10003347"/>
    <x v="0"/>
    <x v="3"/>
    <s v="Coloredge Poster Frame"/>
    <n v="284"/>
  </r>
  <r>
    <s v="CA-2015-151995"/>
    <x v="303"/>
    <d v="2015-10-15T00:00:00"/>
    <d v="2015-10-01T00:00:00"/>
    <s v="First Class"/>
    <s v="ZC-21910"/>
    <s v="Zuschuss Carroll"/>
    <x v="0"/>
    <s v="United States"/>
    <s v="Edmonds"/>
    <s v="Washington"/>
    <n v="98026"/>
    <x v="1"/>
    <s v="OFF-AR-10003190"/>
    <x v="1"/>
    <x v="8"/>
    <s v="Newell 32"/>
    <n v="1152"/>
  </r>
  <r>
    <s v="CA-2018-143686"/>
    <x v="304"/>
    <d v="2018-05-14T00:00:00"/>
    <d v="2018-05-01T00:00:00"/>
    <s v="Same Day"/>
    <s v="PJ-19015"/>
    <s v="Pauline Johnson"/>
    <x v="0"/>
    <s v="United States"/>
    <s v="Santa Ana"/>
    <s v="California"/>
    <n v="92704"/>
    <x v="1"/>
    <s v="FUR-FU-10000794"/>
    <x v="0"/>
    <x v="3"/>
    <s v="Eldon Stackable Tray, Side-Load, Legal, Smoke"/>
    <n v="1828"/>
  </r>
  <r>
    <s v="CA-2016-106565"/>
    <x v="305"/>
    <d v="2016-03-23T00:00:00"/>
    <d v="2016-03-01T00:00:00"/>
    <s v="First Class"/>
    <s v="BW-11110"/>
    <s v="Bart Watters"/>
    <x v="1"/>
    <s v="United States"/>
    <s v="Milwaukee"/>
    <s v="Wisconsin"/>
    <n v="53209"/>
    <x v="2"/>
    <s v="OFF-PA-10000061"/>
    <x v="1"/>
    <x v="4"/>
    <s v="Xerox 205"/>
    <n v="5184"/>
  </r>
  <r>
    <s v="CA-2017-149370"/>
    <x v="306"/>
    <d v="2017-09-19T00:00:00"/>
    <d v="2017-09-01T00:00:00"/>
    <s v="Standard Class"/>
    <s v="DB-13210"/>
    <s v="Dean Braden"/>
    <x v="0"/>
    <s v="United States"/>
    <s v="Philadelphia"/>
    <s v="Pennsylvania"/>
    <n v="19140"/>
    <x v="3"/>
    <s v="OFF-PA-10003651"/>
    <x v="1"/>
    <x v="4"/>
    <s v="Xerox 1968"/>
    <n v="5344"/>
  </r>
  <r>
    <s v="CA-2015-140858"/>
    <x v="307"/>
    <d v="2015-07-02T00:00:00"/>
    <d v="2015-06-01T00:00:00"/>
    <s v="Standard Class"/>
    <s v="CA-12775"/>
    <s v="Cynthia Arntzen"/>
    <x v="0"/>
    <s v="United States"/>
    <s v="Philadelphia"/>
    <s v="Pennsylvania"/>
    <n v="19140"/>
    <x v="3"/>
    <s v="OFF-PA-10000304"/>
    <x v="1"/>
    <x v="4"/>
    <s v="Xerox 1995"/>
    <n v="41472"/>
  </r>
  <r>
    <s v="CA-2018-101434"/>
    <x v="308"/>
    <d v="2018-06-27T00:00:00"/>
    <d v="2018-06-01T00:00:00"/>
    <s v="Standard Class"/>
    <s v="TR-21325"/>
    <s v="Toby Ritter"/>
    <x v="0"/>
    <s v="United States"/>
    <s v="Belleville"/>
    <s v="New Jersey"/>
    <n v="7109"/>
    <x v="3"/>
    <s v="TEC-AC-10002402"/>
    <x v="2"/>
    <x v="12"/>
    <s v="Razer Kraken PRO Over Ear PC and Music Headset"/>
    <n v="23997"/>
  </r>
  <r>
    <s v="US-2015-102071"/>
    <x v="309"/>
    <d v="2015-05-15T00:00:00"/>
    <d v="2015-05-01T00:00:00"/>
    <s v="Standard Class"/>
    <s v="PG-18820"/>
    <s v="Patrick Gardner"/>
    <x v="0"/>
    <s v="United States"/>
    <s v="San Francisco"/>
    <s v="California"/>
    <n v="94110"/>
    <x v="1"/>
    <s v="TEC-AC-10003441"/>
    <x v="2"/>
    <x v="12"/>
    <s v="Kingston Digital DataTraveler 32GB USB 2.0"/>
    <n v="678"/>
  </r>
  <r>
    <s v="CA-2017-165316"/>
    <x v="310"/>
    <d v="2017-07-27T00:00:00"/>
    <d v="2017-07-01T00:00:00"/>
    <s v="Standard Class"/>
    <s v="JB-15400"/>
    <s v="Jennifer Braxton"/>
    <x v="1"/>
    <s v="United States"/>
    <s v="Tampa"/>
    <s v="Florida"/>
    <n v="33614"/>
    <x v="0"/>
    <s v="OFF-AR-10002956"/>
    <x v="1"/>
    <x v="8"/>
    <s v="Boston 16801 Nautilus Battery Pencil Sharpener"/>
    <n v="35216"/>
  </r>
  <r>
    <s v="US-2017-137547"/>
    <x v="311"/>
    <d v="2017-03-12T00:00:00"/>
    <d v="2017-03-01T00:00:00"/>
    <s v="Standard Class"/>
    <s v="EB-13705"/>
    <s v="Ed Braxton"/>
    <x v="1"/>
    <s v="United States"/>
    <s v="Fort Worth"/>
    <s v="Texas"/>
    <n v="76106"/>
    <x v="2"/>
    <s v="TEC-PH-10002365"/>
    <x v="2"/>
    <x v="10"/>
    <s v="Belkin Grip Candy Sheer Case / Cover for iPhone 5 and 5S"/>
    <n v="21072"/>
  </r>
  <r>
    <s v="CA-2016-100454"/>
    <x v="312"/>
    <d v="2016-11-25T00:00:00"/>
    <d v="2016-11-01T00:00:00"/>
    <s v="Standard Class"/>
    <s v="BM-11650"/>
    <s v="Brian Moss"/>
    <x v="1"/>
    <s v="United States"/>
    <s v="New York City"/>
    <s v="New York"/>
    <n v="10035"/>
    <x v="3"/>
    <s v="OFF-AR-10004648"/>
    <x v="1"/>
    <x v="8"/>
    <s v="Boston 19500 Mighty Mite Electric Pencil Sharpener"/>
    <n v="6045"/>
  </r>
  <r>
    <s v="CA-2016-114300"/>
    <x v="313"/>
    <d v="2016-10-17T00:00:00"/>
    <d v="2016-10-01T00:00:00"/>
    <s v="Standard Class"/>
    <s v="AF-10885"/>
    <s v="Art Foster"/>
    <x v="0"/>
    <s v="United States"/>
    <s v="Louisville"/>
    <s v="Kentucky"/>
    <n v="40214"/>
    <x v="0"/>
    <s v="TEC-PH-10001552"/>
    <x v="2"/>
    <x v="10"/>
    <s v="I Need's 3d Hello Kitty Hybrid Silicone Case Cover for HTC One X 4g with 3d Hello Kitty Stylus Pen Green/pink"/>
    <n v="8372"/>
  </r>
  <r>
    <s v="CA-2018-107503"/>
    <x v="314"/>
    <d v="2018-01-06T00:00:00"/>
    <d v="2018-01-01T00:00:00"/>
    <s v="Standard Class"/>
    <s v="GA-14725"/>
    <s v="Guy Armstrong"/>
    <x v="0"/>
    <s v="United States"/>
    <s v="Lorain"/>
    <s v="Ohio"/>
    <n v="44052"/>
    <x v="3"/>
    <s v="FUR-FU-10003878"/>
    <x v="0"/>
    <x v="3"/>
    <s v="Linden 10&quot; Round Wall Clock, Black"/>
    <n v="48896"/>
  </r>
  <r>
    <s v="CA-2015-107755"/>
    <x v="315"/>
    <d v="2015-02-12T00:00:00"/>
    <d v="2015-02-01T00:00:00"/>
    <s v="Standard Class"/>
    <s v="CK-12760"/>
    <s v="Cyma Kinney"/>
    <x v="1"/>
    <s v="United States"/>
    <s v="Linden"/>
    <s v="New Jersey"/>
    <n v="7036"/>
    <x v="3"/>
    <s v="TEC-AC-10000710"/>
    <x v="2"/>
    <x v="12"/>
    <s v="Maxell DVD-RAM Discs"/>
    <n v="11536"/>
  </r>
  <r>
    <s v="CA-2017-113747"/>
    <x v="316"/>
    <d v="2017-06-04T00:00:00"/>
    <d v="2017-05-01T00:00:00"/>
    <s v="Standard Class"/>
    <s v="VD-21670"/>
    <s v="Valerie Dominguez"/>
    <x v="0"/>
    <s v="United States"/>
    <s v="Jackson"/>
    <s v="Mississippi"/>
    <n v="39212"/>
    <x v="0"/>
    <s v="OFF-AR-10003373"/>
    <x v="1"/>
    <x v="8"/>
    <s v="Boston School Pro Electric Pencil Sharpener, 1670"/>
    <n v="18588"/>
  </r>
  <r>
    <s v="CA-2017-123274"/>
    <x v="317"/>
    <d v="2017-02-24T00:00:00"/>
    <d v="2017-02-01T00:00:00"/>
    <s v="Standard Class"/>
    <s v="GT-14710"/>
    <s v="Greg Tran"/>
    <x v="0"/>
    <s v="United States"/>
    <s v="New York City"/>
    <s v="New York"/>
    <n v="10035"/>
    <x v="3"/>
    <s v="FUR-FU-10004090"/>
    <x v="0"/>
    <x v="3"/>
    <s v="Executive Impressions 14&quot; Contract Wall Clock"/>
    <n v="4446"/>
  </r>
  <r>
    <s v="CA-2018-161984"/>
    <x v="318"/>
    <d v="2018-04-15T00:00:00"/>
    <d v="2018-04-01T00:00:00"/>
    <s v="Standard Class"/>
    <s v="SJ-20125"/>
    <s v="Sanjit Jacobs"/>
    <x v="2"/>
    <s v="United States"/>
    <s v="New Brunswick"/>
    <s v="New Jersey"/>
    <n v="8901"/>
    <x v="3"/>
    <s v="OFF-PA-10004569"/>
    <x v="1"/>
    <x v="4"/>
    <s v="Wirebound Message Books, Two 4 1/4&quot; x 5&quot; Forms per Page"/>
    <n v="761"/>
  </r>
  <r>
    <s v="CA-2017-134474"/>
    <x v="319"/>
    <d v="2017-01-07T00:00:00"/>
    <d v="2017-01-01T00:00:00"/>
    <s v="Second Class"/>
    <s v="AJ-10795"/>
    <s v="Anthony Johnson"/>
    <x v="1"/>
    <s v="United States"/>
    <s v="Jacksonville"/>
    <s v="Florida"/>
    <n v="32216"/>
    <x v="0"/>
    <s v="TEC-AC-10001714"/>
    <x v="2"/>
    <x v="12"/>
    <s v="Logitech MX Performance Wireless Mouse"/>
    <n v="191472"/>
  </r>
  <r>
    <s v="CA-2015-149020"/>
    <x v="320"/>
    <d v="2015-01-15T00:00:00"/>
    <d v="2015-01-01T00:00:00"/>
    <s v="Standard Class"/>
    <s v="AJ-10780"/>
    <s v="Anthony Jacobs"/>
    <x v="1"/>
    <s v="United States"/>
    <s v="Springfield"/>
    <s v="Virginia"/>
    <n v="22153"/>
    <x v="0"/>
    <s v="OFF-LA-10004272"/>
    <x v="1"/>
    <x v="1"/>
    <s v="Avery 482"/>
    <n v="289"/>
  </r>
  <r>
    <s v="CA-2017-134362"/>
    <x v="321"/>
    <d v="2017-10-02T00:00:00"/>
    <d v="2017-09-01T00:00:00"/>
    <s v="First Class"/>
    <s v="LS-16945"/>
    <s v="Linda Southworth"/>
    <x v="1"/>
    <s v="United States"/>
    <s v="Philadelphia"/>
    <s v="Pennsylvania"/>
    <n v="19140"/>
    <x v="3"/>
    <s v="OFF-LA-10004853"/>
    <x v="1"/>
    <x v="1"/>
    <s v="Avery 483"/>
    <n v="15936"/>
  </r>
  <r>
    <s v="CA-2015-136742"/>
    <x v="322"/>
    <d v="2015-04-10T00:00:00"/>
    <d v="2015-04-01T00:00:00"/>
    <s v="Standard Class"/>
    <s v="GP-14740"/>
    <s v="Guy Phonely"/>
    <x v="1"/>
    <s v="United States"/>
    <s v="Lancaster"/>
    <s v="Pennsylvania"/>
    <n v="17602"/>
    <x v="3"/>
    <s v="OFF-BI-10003719"/>
    <x v="1"/>
    <x v="5"/>
    <s v="Large Capacity Hanging Post Binders"/>
    <n v="4491"/>
  </r>
  <r>
    <s v="CA-2017-158099"/>
    <x v="323"/>
    <d v="2017-09-05T00:00:00"/>
    <d v="2017-09-01T00:00:00"/>
    <s v="First Class"/>
    <s v="PK-18910"/>
    <s v="Paul Knutson"/>
    <x v="2"/>
    <s v="United States"/>
    <s v="Philadelphia"/>
    <s v="Pennsylvania"/>
    <n v="19143"/>
    <x v="3"/>
    <s v="OFF-BI-10000545"/>
    <x v="1"/>
    <x v="5"/>
    <s v="GBC Ibimaster 500 Manual ProClick Binding System"/>
    <n v="114147"/>
  </r>
  <r>
    <s v="CA-2016-131128"/>
    <x v="324"/>
    <d v="2016-10-20T00:00:00"/>
    <d v="2016-10-01T00:00:00"/>
    <s v="First Class"/>
    <s v="TB-21520"/>
    <s v="Tracy Blumstein"/>
    <x v="0"/>
    <s v="United States"/>
    <s v="Concord"/>
    <s v="New Hampshire"/>
    <n v="3301"/>
    <x v="3"/>
    <s v="OFF-PA-10003591"/>
    <x v="1"/>
    <x v="4"/>
    <s v="Southworth 100% Cotton The Best Paper"/>
    <n v="3444"/>
  </r>
  <r>
    <s v="CA-2015-148488"/>
    <x v="325"/>
    <d v="2015-12-15T00:00:00"/>
    <d v="2015-12-01T00:00:00"/>
    <s v="Standard Class"/>
    <s v="SM-20005"/>
    <s v="Sally Matthias"/>
    <x v="0"/>
    <s v="United States"/>
    <s v="New York City"/>
    <s v="New York"/>
    <n v="10009"/>
    <x v="3"/>
    <s v="OFF-PA-10004470"/>
    <x v="1"/>
    <x v="4"/>
    <s v="Adams Write n' Stick Phone Message Book, 11&quot; X 5 1/4&quot;, 200 Messages"/>
    <n v="1136"/>
  </r>
  <r>
    <s v="CA-2018-114636"/>
    <x v="326"/>
    <d v="2018-08-29T00:00:00"/>
    <d v="2018-08-01T00:00:00"/>
    <s v="Standard Class"/>
    <s v="GA-14725"/>
    <s v="Guy Armstrong"/>
    <x v="0"/>
    <s v="United States"/>
    <s v="Charlotte"/>
    <s v="North Carolina"/>
    <n v="28205"/>
    <x v="0"/>
    <s v="OFF-PA-10001790"/>
    <x v="1"/>
    <x v="4"/>
    <s v="Xerox 1910"/>
    <n v="19216"/>
  </r>
  <r>
    <s v="CA-2017-116736"/>
    <x v="327"/>
    <d v="2017-01-21T00:00:00"/>
    <d v="2017-01-01T00:00:00"/>
    <s v="Standard Class"/>
    <s v="CC-12430"/>
    <s v="Chuck Clark"/>
    <x v="2"/>
    <s v="United States"/>
    <s v="Concord"/>
    <s v="New Hampshire"/>
    <n v="3301"/>
    <x v="3"/>
    <s v="FUR-FU-10004017"/>
    <x v="0"/>
    <x v="3"/>
    <s v="Tenex Contemporary Contur Chairmats for Low and Medium Pile Carpet, Computer, 39&quot; x 49&quot;"/>
    <n v="32259"/>
  </r>
  <r>
    <s v="US-2015-158638"/>
    <x v="328"/>
    <d v="2015-09-21T00:00:00"/>
    <d v="2015-09-01T00:00:00"/>
    <s v="Standard Class"/>
    <s v="AG-10765"/>
    <s v="Anthony Garverick"/>
    <x v="2"/>
    <s v="United States"/>
    <s v="Philadelphia"/>
    <s v="Pennsylvania"/>
    <n v="19120"/>
    <x v="3"/>
    <s v="OFF-BI-10003712"/>
    <x v="1"/>
    <x v="5"/>
    <s v="Acco Pressboard Covers with Storage Hooks, 14 7/8&quot; x 11&quot;, Light Blue"/>
    <n v="5892"/>
  </r>
  <r>
    <s v="CA-2018-111689"/>
    <x v="329"/>
    <d v="2018-12-02T00:00:00"/>
    <d v="2018-11-01T00:00:00"/>
    <s v="Second Class"/>
    <s v="HP-14815"/>
    <s v="Harold Pawlan"/>
    <x v="2"/>
    <s v="United States"/>
    <s v="New York City"/>
    <s v="New York"/>
    <n v="10024"/>
    <x v="3"/>
    <s v="OFF-BI-10003984"/>
    <x v="1"/>
    <x v="5"/>
    <s v="Lock-Up Easel 'Spel-Binder'"/>
    <n v="68472"/>
  </r>
  <r>
    <s v="CA-2016-129098"/>
    <x v="330"/>
    <d v="2016-10-13T00:00:00"/>
    <d v="2016-10-01T00:00:00"/>
    <s v="Standard Class"/>
    <s v="DK-13090"/>
    <s v="Dave Kipp"/>
    <x v="0"/>
    <s v="United States"/>
    <s v="Springfield"/>
    <s v="Virginia"/>
    <n v="22153"/>
    <x v="0"/>
    <s v="OFF-ST-10001321"/>
    <x v="1"/>
    <x v="7"/>
    <s v="Decoflex Hanging Personal Folder File, Blue"/>
    <n v="3084"/>
  </r>
  <r>
    <s v="US-2018-123463"/>
    <x v="331"/>
    <d v="2018-12-23T00:00:00"/>
    <d v="2018-12-01T00:00:00"/>
    <s v="Same Day"/>
    <s v="GZ-14470"/>
    <s v="Gary Zandusky"/>
    <x v="0"/>
    <s v="United States"/>
    <s v="San Francisco"/>
    <s v="California"/>
    <n v="94109"/>
    <x v="1"/>
    <s v="OFF-AR-10001118"/>
    <x v="1"/>
    <x v="8"/>
    <s v="Binney &amp; Smith Crayola Metallic Crayons, 16-Color Pack"/>
    <n v="1348"/>
  </r>
  <r>
    <s v="CA-2017-165148"/>
    <x v="332"/>
    <d v="2017-10-24T00:00:00"/>
    <d v="2017-10-01T00:00:00"/>
    <s v="First Class"/>
    <s v="PM-19135"/>
    <s v="Peter McVee"/>
    <x v="2"/>
    <s v="United States"/>
    <s v="Detroit"/>
    <s v="Michigan"/>
    <n v="48227"/>
    <x v="2"/>
    <s v="FUR-FU-10000732"/>
    <x v="0"/>
    <x v="3"/>
    <s v="Eldon 200 Class Desk Accessories"/>
    <n v="314"/>
  </r>
  <r>
    <s v="CA-2015-134061"/>
    <x v="333"/>
    <d v="2015-05-04T00:00:00"/>
    <d v="2015-04-01T00:00:00"/>
    <s v="Standard Class"/>
    <s v="LL-16840"/>
    <s v="Lauren Leatherbury"/>
    <x v="0"/>
    <s v="United States"/>
    <s v="Rochester"/>
    <s v="New York"/>
    <n v="14609"/>
    <x v="3"/>
    <s v="FUR-FU-10001424"/>
    <x v="0"/>
    <x v="3"/>
    <s v="Dax Clear Box Frame"/>
    <n v="1746"/>
  </r>
  <r>
    <s v="CA-2016-143602"/>
    <x v="334"/>
    <d v="2016-04-28T00:00:00"/>
    <d v="2016-04-01T00:00:00"/>
    <s v="Second Class"/>
    <s v="JS-15595"/>
    <s v="Jill Stevenson"/>
    <x v="1"/>
    <s v="United States"/>
    <s v="Los Angeles"/>
    <s v="California"/>
    <n v="90045"/>
    <x v="1"/>
    <s v="OFF-BI-10002071"/>
    <x v="1"/>
    <x v="5"/>
    <s v="Fellowes Black Plastic Comb Bindings"/>
    <n v="13944"/>
  </r>
  <r>
    <s v="CA-2018-115364"/>
    <x v="335"/>
    <d v="2018-07-02T00:00:00"/>
    <d v="2018-06-01T00:00:00"/>
    <s v="Standard Class"/>
    <s v="OT-18730"/>
    <s v="Olvera Toch"/>
    <x v="0"/>
    <s v="United States"/>
    <s v="San Diego"/>
    <s v="California"/>
    <n v="92105"/>
    <x v="1"/>
    <s v="OFF-ST-10002486"/>
    <x v="1"/>
    <x v="7"/>
    <s v="Eldon Shelf Savers Cubes and Bins"/>
    <n v="8376"/>
  </r>
  <r>
    <s v="CA-2018-150707"/>
    <x v="336"/>
    <d v="2018-10-19T00:00:00"/>
    <d v="2018-10-01T00:00:00"/>
    <s v="Standard Class"/>
    <s v="EL-13735"/>
    <s v="Ed Ludwig"/>
    <x v="2"/>
    <s v="United States"/>
    <s v="Columbia"/>
    <s v="Maryland"/>
    <n v="21044"/>
    <x v="3"/>
    <s v="OFF-BI-10001078"/>
    <x v="1"/>
    <x v="5"/>
    <s v="Acco PRESSTEX Data Binder with Storage Hooks, Dark Blue, 14 7/8&quot; X 11&quot;"/>
    <n v="3766"/>
  </r>
  <r>
    <s v="CA-2015-104976"/>
    <x v="337"/>
    <d v="2015-12-16T00:00:00"/>
    <d v="2015-12-01T00:00:00"/>
    <s v="Standard Class"/>
    <s v="CK-12760"/>
    <s v="Cyma Kinney"/>
    <x v="1"/>
    <s v="United States"/>
    <s v="San Francisco"/>
    <s v="California"/>
    <n v="94122"/>
    <x v="1"/>
    <s v="OFF-PA-10003845"/>
    <x v="1"/>
    <x v="4"/>
    <s v="Xerox 1987"/>
    <n v="3468"/>
  </r>
  <r>
    <s v="CA-2017-105494"/>
    <x v="338"/>
    <d v="2017-11-12T00:00:00"/>
    <d v="2017-11-01T00:00:00"/>
    <s v="First Class"/>
    <s v="PC-18745"/>
    <s v="Pamela Coakley"/>
    <x v="1"/>
    <s v="United States"/>
    <s v="San Francisco"/>
    <s v="California"/>
    <n v="94122"/>
    <x v="1"/>
    <s v="OFF-ST-10002205"/>
    <x v="1"/>
    <x v="7"/>
    <s v="File Shuttle I and Handi-File"/>
    <n v="15582"/>
  </r>
  <r>
    <s v="CA-2017-140634"/>
    <x v="339"/>
    <d v="2017-10-06T00:00:00"/>
    <d v="2017-10-01T00:00:00"/>
    <s v="Second Class"/>
    <s v="HL-15040"/>
    <s v="Hunter Lopez"/>
    <x v="0"/>
    <s v="United States"/>
    <s v="Houston"/>
    <s v="Texas"/>
    <n v="77095"/>
    <x v="2"/>
    <s v="OFF-EN-10001099"/>
    <x v="1"/>
    <x v="11"/>
    <s v="Staple envelope"/>
    <n v="15648"/>
  </r>
  <r>
    <s v="CA-2015-144407"/>
    <x v="340"/>
    <d v="2015-09-15T00:00:00"/>
    <d v="2015-09-01T00:00:00"/>
    <s v="Standard Class"/>
    <s v="MS-17365"/>
    <s v="Maribeth Schnelling"/>
    <x v="0"/>
    <s v="United States"/>
    <s v="Detroit"/>
    <s v="Michigan"/>
    <n v="48227"/>
    <x v="2"/>
    <s v="OFF-LA-10003923"/>
    <x v="1"/>
    <x v="1"/>
    <s v="Alphabetical Labels for Top Tab Filing"/>
    <n v="1036"/>
  </r>
  <r>
    <s v="CA-2018-160983"/>
    <x v="341"/>
    <d v="2018-10-31T00:00:00"/>
    <d v="2018-10-01T00:00:00"/>
    <s v="Second Class"/>
    <s v="GB-14530"/>
    <s v="George Bell"/>
    <x v="1"/>
    <s v="United States"/>
    <s v="Auburn"/>
    <s v="New York"/>
    <n v="13021"/>
    <x v="3"/>
    <s v="OFF-PA-10002250"/>
    <x v="1"/>
    <x v="4"/>
    <s v="Things To Do Today Pad"/>
    <n v="4696"/>
  </r>
  <r>
    <s v="US-2017-114622"/>
    <x v="342"/>
    <d v="2017-04-12T00:00:00"/>
    <d v="2017-04-01T00:00:00"/>
    <s v="First Class"/>
    <s v="JR-16210"/>
    <s v="Justin Ritter"/>
    <x v="1"/>
    <s v="United States"/>
    <s v="Springfield"/>
    <s v="Ohio"/>
    <n v="45503"/>
    <x v="3"/>
    <s v="OFF-BI-10004716"/>
    <x v="1"/>
    <x v="5"/>
    <s v="Wilson Jones Hanging Recycled Pressboard Data Binders"/>
    <n v="8904"/>
  </r>
  <r>
    <s v="CA-2018-150959"/>
    <x v="343"/>
    <d v="2018-11-13T00:00:00"/>
    <d v="2018-11-01T00:00:00"/>
    <s v="First Class"/>
    <s v="TD-20995"/>
    <s v="Tamara Dahlen"/>
    <x v="0"/>
    <s v="United States"/>
    <s v="Garland"/>
    <s v="Texas"/>
    <n v="75043"/>
    <x v="2"/>
    <s v="OFF-LA-10001045"/>
    <x v="1"/>
    <x v="1"/>
    <s v="Permanent Self-Adhesive File Folder Labels for Typewriters by Universal"/>
    <n v="1044"/>
  </r>
  <r>
    <s v="CA-2018-102519"/>
    <x v="344"/>
    <d v="2018-11-29T00:00:00"/>
    <d v="2018-11-01T00:00:00"/>
    <s v="First Class"/>
    <s v="BM-11650"/>
    <s v="Brian Moss"/>
    <x v="1"/>
    <s v="United States"/>
    <s v="Milwaukee"/>
    <s v="Wisconsin"/>
    <n v="53209"/>
    <x v="2"/>
    <s v="FUR-FU-10004091"/>
    <x v="0"/>
    <x v="3"/>
    <s v="Howard Miller 13&quot; Diameter Goldtone Round Wall Clock"/>
    <n v="4694"/>
  </r>
  <r>
    <s v="US-2015-141215"/>
    <x v="345"/>
    <d v="2015-06-21T00:00:00"/>
    <d v="2015-06-01T00:00:00"/>
    <s v="Standard Class"/>
    <s v="KL-16555"/>
    <s v="Kelly Lampkin"/>
    <x v="1"/>
    <s v="United States"/>
    <s v="San Antonio"/>
    <s v="Texas"/>
    <n v="78207"/>
    <x v="2"/>
    <s v="FUR-TA-10001520"/>
    <x v="0"/>
    <x v="2"/>
    <s v="Lesro Sheffield Collection Coffee Table, End Table, Center Table, Corner Table"/>
    <n v="99918"/>
  </r>
  <r>
    <s v="CA-2017-165218"/>
    <x v="346"/>
    <d v="2017-03-11T00:00:00"/>
    <d v="2017-03-01T00:00:00"/>
    <s v="Standard Class"/>
    <s v="RW-19630"/>
    <s v="Rob Williams"/>
    <x v="1"/>
    <s v="United States"/>
    <s v="Dallas"/>
    <s v="Texas"/>
    <n v="75220"/>
    <x v="2"/>
    <s v="OFF-EN-10000056"/>
    <x v="1"/>
    <x v="11"/>
    <s v="Cameo Buff Policy Envelopes"/>
    <n v="149352"/>
  </r>
  <r>
    <s v="CA-2016-111164"/>
    <x v="347"/>
    <d v="2016-04-15T00:00:00"/>
    <d v="2016-04-01T00:00:00"/>
    <s v="Standard Class"/>
    <s v="SE-20110"/>
    <s v="Sanjit Engle"/>
    <x v="0"/>
    <s v="United States"/>
    <s v="New York City"/>
    <s v="New York"/>
    <n v="10009"/>
    <x v="3"/>
    <s v="TEC-AC-10002473"/>
    <x v="2"/>
    <x v="12"/>
    <s v="Maxell 4.7GB DVD-R"/>
    <n v="8514"/>
  </r>
  <r>
    <s v="CA-2016-115091"/>
    <x v="348"/>
    <d v="2016-10-09T00:00:00"/>
    <d v="2016-10-01T00:00:00"/>
    <s v="Standard Class"/>
    <s v="JJ-15760"/>
    <s v="Joel Jenkins"/>
    <x v="2"/>
    <s v="United States"/>
    <s v="Springfield"/>
    <s v="Virginia"/>
    <n v="22153"/>
    <x v="0"/>
    <s v="OFF-AR-10000658"/>
    <x v="1"/>
    <x v="8"/>
    <s v="Newell 324"/>
    <n v="462"/>
  </r>
  <r>
    <s v="CA-2018-144932"/>
    <x v="349"/>
    <d v="2018-04-17T00:00:00"/>
    <d v="2018-04-01T00:00:00"/>
    <s v="First Class"/>
    <s v="AB-10165"/>
    <s v="Alan Barnes"/>
    <x v="0"/>
    <s v="United States"/>
    <s v="Toledo"/>
    <s v="Ohio"/>
    <n v="43615"/>
    <x v="3"/>
    <s v="OFF-AR-10003560"/>
    <x v="1"/>
    <x v="8"/>
    <s v="Zebra Zazzle Fluorescent Highlighters"/>
    <n v="14592"/>
  </r>
  <r>
    <s v="CA-2016-148250"/>
    <x v="350"/>
    <d v="2016-12-17T00:00:00"/>
    <d v="2016-12-01T00:00:00"/>
    <s v="Standard Class"/>
    <s v="RP-19270"/>
    <s v="Rachel Payne"/>
    <x v="1"/>
    <s v="United States"/>
    <s v="Riverside"/>
    <s v="California"/>
    <n v="92503"/>
    <x v="1"/>
    <s v="OFF-PA-10000289"/>
    <x v="1"/>
    <x v="4"/>
    <s v="Xerox 213"/>
    <n v="1296"/>
  </r>
  <r>
    <s v="CA-2017-105760"/>
    <x v="351"/>
    <d v="2017-06-20T00:00:00"/>
    <d v="2017-06-01T00:00:00"/>
    <s v="First Class"/>
    <s v="KC-16255"/>
    <s v="Karen Carlisle"/>
    <x v="1"/>
    <s v="United States"/>
    <s v="San Francisco"/>
    <s v="California"/>
    <n v="94110"/>
    <x v="1"/>
    <s v="OFF-PA-10000350"/>
    <x v="1"/>
    <x v="4"/>
    <s v="Message Book, Standard Line &quot;While You Were Out&quot;, 5 1/2&quot; X 4&quot;, 200 Sets/Book"/>
    <n v="1712"/>
  </r>
  <r>
    <s v="CA-2016-120880"/>
    <x v="352"/>
    <d v="2016-06-03T00:00:00"/>
    <d v="2016-05-01T00:00:00"/>
    <s v="Standard Class"/>
    <s v="JL-15850"/>
    <s v="John Lucas"/>
    <x v="0"/>
    <s v="United States"/>
    <s v="Seattle"/>
    <s v="Washington"/>
    <n v="98105"/>
    <x v="1"/>
    <s v="OFF-PA-10004101"/>
    <x v="1"/>
    <x v="4"/>
    <s v="Xerox 1894"/>
    <n v="324"/>
  </r>
  <r>
    <s v="US-2016-140200"/>
    <x v="353"/>
    <d v="2016-07-28T00:00:00"/>
    <d v="2016-07-01T00:00:00"/>
    <s v="First Class"/>
    <s v="CA-12775"/>
    <s v="Cynthia Arntzen"/>
    <x v="0"/>
    <s v="United States"/>
    <s v="Mesa"/>
    <s v="Arizona"/>
    <n v="85204"/>
    <x v="1"/>
    <s v="FUR-TA-10002356"/>
    <x v="0"/>
    <x v="2"/>
    <s v="Bevis Boat-Shaped Conference Table"/>
    <n v="393165"/>
  </r>
  <r>
    <s v="US-2018-110576"/>
    <x v="354"/>
    <d v="2018-12-02T00:00:00"/>
    <d v="2018-11-01T00:00:00"/>
    <s v="Standard Class"/>
    <s v="RB-19795"/>
    <s v="Ross Baird"/>
    <x v="2"/>
    <s v="United States"/>
    <s v="Philadelphia"/>
    <s v="Pennsylvania"/>
    <n v="19120"/>
    <x v="3"/>
    <s v="FUR-FU-10003601"/>
    <x v="0"/>
    <x v="3"/>
    <s v="Deflect-o RollaMat Studded, Beveled Mat for Medium Pile Carpeting"/>
    <n v="516488"/>
  </r>
  <r>
    <s v="CA-2018-131156"/>
    <x v="355"/>
    <d v="2018-04-07T00:00:00"/>
    <d v="2018-04-01T00:00:00"/>
    <s v="Standard Class"/>
    <s v="KH-16360"/>
    <s v="Katherine Hughes"/>
    <x v="0"/>
    <s v="United States"/>
    <s v="Philadelphia"/>
    <s v="Pennsylvania"/>
    <n v="19143"/>
    <x v="3"/>
    <s v="FUR-FU-10001940"/>
    <x v="0"/>
    <x v="3"/>
    <s v="Staple-based wall hangings"/>
    <n v="25472"/>
  </r>
  <r>
    <s v="CA-2018-102414"/>
    <x v="356"/>
    <d v="2018-05-18T00:00:00"/>
    <d v="2018-05-01T00:00:00"/>
    <s v="Second Class"/>
    <s v="JA-15970"/>
    <s v="Joseph Airdo"/>
    <x v="0"/>
    <s v="United States"/>
    <s v="Phoenix"/>
    <s v="Arizona"/>
    <n v="85023"/>
    <x v="1"/>
    <s v="TEC-PH-10002923"/>
    <x v="2"/>
    <x v="10"/>
    <s v="Logitech B530 USB Headset - headset - Full size, Binaural"/>
    <n v="29592"/>
  </r>
  <r>
    <s v="CA-2016-112571"/>
    <x v="357"/>
    <d v="2016-09-22T00:00:00"/>
    <d v="2016-09-01T00:00:00"/>
    <s v="Same Day"/>
    <s v="DL-12925"/>
    <s v="Daniel Lacy"/>
    <x v="0"/>
    <s v="United States"/>
    <s v="Oceanside"/>
    <s v="California"/>
    <n v="92054"/>
    <x v="1"/>
    <s v="FUR-FU-10004188"/>
    <x v="0"/>
    <x v="3"/>
    <s v="Luxo Professional Combination Clamp-On Lamps"/>
    <n v="2046"/>
  </r>
  <r>
    <s v="CA-2015-127488"/>
    <x v="358"/>
    <d v="2015-09-24T00:00:00"/>
    <d v="2015-09-01T00:00:00"/>
    <s v="Second Class"/>
    <s v="MS-17365"/>
    <s v="Maribeth Schnelling"/>
    <x v="0"/>
    <s v="United States"/>
    <s v="Boca Raton"/>
    <s v="Florida"/>
    <n v="33433"/>
    <x v="0"/>
    <s v="OFF-LA-10001613"/>
    <x v="1"/>
    <x v="1"/>
    <s v="Avery File Folder Labels"/>
    <n v="4608"/>
  </r>
  <r>
    <s v="CA-2018-135279"/>
    <x v="359"/>
    <d v="2018-04-11T00:00:00"/>
    <d v="2018-04-01T00:00:00"/>
    <s v="First Class"/>
    <s v="BS-11800"/>
    <s v="Bryan Spruell"/>
    <x v="2"/>
    <s v="United States"/>
    <s v="New York City"/>
    <s v="New York"/>
    <n v="10011"/>
    <x v="3"/>
    <s v="OFF-LA-10004055"/>
    <x v="1"/>
    <x v="1"/>
    <s v="Color-Coded Legal Exhibit Labels"/>
    <n v="982"/>
  </r>
  <r>
    <s v="CA-2015-115791"/>
    <x v="360"/>
    <d v="2015-01-18T00:00:00"/>
    <d v="2015-01-01T00:00:00"/>
    <s v="Second Class"/>
    <s v="DL-13315"/>
    <s v="Delfina Latchford"/>
    <x v="0"/>
    <s v="United States"/>
    <s v="Philadelphia"/>
    <s v="Pennsylvania"/>
    <n v="19134"/>
    <x v="3"/>
    <s v="FUR-FU-10001095"/>
    <x v="0"/>
    <x v="3"/>
    <s v="DAX Black Cherry Wood-Tone Poster Frame"/>
    <n v="127104"/>
  </r>
  <r>
    <s v="US-2018-103247"/>
    <x v="361"/>
    <d v="2018-10-08T00:00:00"/>
    <d v="2018-10-01T00:00:00"/>
    <s v="Second Class"/>
    <s v="PO-19195"/>
    <s v="Phillina Ober"/>
    <x v="2"/>
    <s v="United States"/>
    <s v="New York City"/>
    <s v="New York"/>
    <n v="10011"/>
    <x v="3"/>
    <s v="TEC-PH-10003555"/>
    <x v="2"/>
    <x v="10"/>
    <s v="Motorola HK250 Universal Bluetooth Headset"/>
    <n v="16093"/>
  </r>
  <r>
    <s v="US-2018-100209"/>
    <x v="362"/>
    <d v="2018-07-15T00:00:00"/>
    <d v="2018-07-01T00:00:00"/>
    <s v="Standard Class"/>
    <s v="TD-20995"/>
    <s v="Tamara Dahlen"/>
    <x v="0"/>
    <s v="United States"/>
    <s v="Portland"/>
    <s v="Oregon"/>
    <n v="97206"/>
    <x v="1"/>
    <s v="OFF-BI-10002012"/>
    <x v="1"/>
    <x v="5"/>
    <s v="Wilson Jones Easy Flow II Sheet Lifters"/>
    <n v="108"/>
  </r>
  <r>
    <s v="CA-2018-159366"/>
    <x v="363"/>
    <d v="2018-01-10T00:00:00"/>
    <d v="2018-01-01T00:00:00"/>
    <s v="First Class"/>
    <s v="BW-11110"/>
    <s v="Bart Watters"/>
    <x v="1"/>
    <s v="United States"/>
    <s v="Detroit"/>
    <s v="Michigan"/>
    <n v="48205"/>
    <x v="2"/>
    <s v="TEC-MA-10000822"/>
    <x v="2"/>
    <x v="14"/>
    <s v="Lexmark MX611dhe Monochrome Laser Printer"/>
    <n v="3059982"/>
  </r>
  <r>
    <s v="CA-2016-157035"/>
    <x v="364"/>
    <d v="2016-12-12T00:00:00"/>
    <d v="2016-12-01T00:00:00"/>
    <s v="First Class"/>
    <s v="KB-16600"/>
    <s v="Ken Brennan"/>
    <x v="1"/>
    <s v="United States"/>
    <s v="Columbus"/>
    <s v="Indiana"/>
    <n v="47201"/>
    <x v="2"/>
    <s v="OFF-PA-10004156"/>
    <x v="1"/>
    <x v="4"/>
    <s v="Xerox 188"/>
    <n v="3402"/>
  </r>
  <r>
    <s v="CA-2018-100314"/>
    <x v="365"/>
    <d v="2018-10-05T00:00:00"/>
    <d v="2018-09-01T00:00:00"/>
    <s v="Standard Class"/>
    <s v="AS-10630"/>
    <s v="Ann Steele"/>
    <x v="2"/>
    <s v="United States"/>
    <s v="Pasadena"/>
    <s v="Texas"/>
    <n v="77506"/>
    <x v="2"/>
    <s v="OFF-LA-10001569"/>
    <x v="1"/>
    <x v="1"/>
    <s v="Avery 499"/>
    <n v="7968"/>
  </r>
  <r>
    <s v="CA-2016-146829"/>
    <x v="366"/>
    <d v="2016-03-10T00:00:00"/>
    <d v="2016-03-01T00:00:00"/>
    <s v="Same Day"/>
    <s v="TS-21340"/>
    <s v="Toby Swindell"/>
    <x v="0"/>
    <s v="United States"/>
    <s v="Houston"/>
    <s v="Texas"/>
    <n v="77041"/>
    <x v="2"/>
    <s v="OFF-BI-10004022"/>
    <x v="1"/>
    <x v="5"/>
    <s v="Acco Suede Grain Vinyl Round Ring Binder"/>
    <n v="1112"/>
  </r>
  <r>
    <s v="CA-2018-167899"/>
    <x v="367"/>
    <d v="2018-05-26T00:00:00"/>
    <d v="2018-05-01T00:00:00"/>
    <s v="Standard Class"/>
    <s v="JG-15805"/>
    <s v="John Grady"/>
    <x v="1"/>
    <s v="United States"/>
    <s v="Auburn"/>
    <s v="New York"/>
    <n v="13021"/>
    <x v="3"/>
    <s v="FUR-FU-10004071"/>
    <x v="0"/>
    <x v="3"/>
    <s v="Luxo Professional Magnifying Clamp-On Fluorescent Lamps"/>
    <n v="52005"/>
  </r>
  <r>
    <s v="CA-2016-153549"/>
    <x v="368"/>
    <d v="2016-03-31T00:00:00"/>
    <d v="2016-03-01T00:00:00"/>
    <s v="Second Class"/>
    <s v="SL-20155"/>
    <s v="Sara Luxemburg"/>
    <x v="2"/>
    <s v="United States"/>
    <s v="Jacksonville"/>
    <s v="Florida"/>
    <n v="32216"/>
    <x v="0"/>
    <s v="FUR-CH-10004086"/>
    <x v="0"/>
    <x v="9"/>
    <s v="Hon 4070 Series Pagoda Armless Upholstered Stacking Chairs"/>
    <n v="116692"/>
  </r>
  <r>
    <s v="CA-2017-110023"/>
    <x v="369"/>
    <d v="2017-09-11T00:00:00"/>
    <d v="2017-09-01T00:00:00"/>
    <s v="First Class"/>
    <s v="TS-21610"/>
    <s v="Troy Staebel"/>
    <x v="0"/>
    <s v="United States"/>
    <s v="New York City"/>
    <s v="New York"/>
    <n v="10024"/>
    <x v="3"/>
    <s v="OFF-BI-10001036"/>
    <x v="1"/>
    <x v="5"/>
    <s v="Cardinal EasyOpen D-Ring Binders"/>
    <n v="14624"/>
  </r>
  <r>
    <s v="CA-2017-105585"/>
    <x v="370"/>
    <d v="2017-08-27T00:00:00"/>
    <d v="2017-08-01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23"/>
  </r>
  <r>
    <s v="CA-2015-117639"/>
    <x v="371"/>
    <d v="2015-05-25T00:00:00"/>
    <d v="2015-05-01T00:00:00"/>
    <s v="Standard Class"/>
    <s v="MW-18235"/>
    <s v="Mitch Willingham"/>
    <x v="1"/>
    <s v="United States"/>
    <s v="Virginia Beach"/>
    <s v="Virginia"/>
    <n v="23464"/>
    <x v="0"/>
    <s v="OFF-BI-10003925"/>
    <x v="1"/>
    <x v="5"/>
    <s v="Fellowes PB300 Plastic Comb Binding Machine"/>
    <n v="271593"/>
  </r>
  <r>
    <s v="CA-2016-162537"/>
    <x v="372"/>
    <d v="2016-11-03T00:00:00"/>
    <d v="2016-10-01T00:00:00"/>
    <s v="Standard Class"/>
    <s v="RD-19585"/>
    <s v="Rob Dowd"/>
    <x v="0"/>
    <s v="United States"/>
    <s v="Henderson"/>
    <s v="Kentucky"/>
    <n v="42420"/>
    <x v="0"/>
    <s v="OFF-EN-10003862"/>
    <x v="1"/>
    <x v="11"/>
    <s v="Laser &amp; Ink Jet Business Envelopes"/>
    <n v="1067"/>
  </r>
  <r>
    <s v="CA-2017-155488"/>
    <x v="373"/>
    <d v="2017-11-17T00:00:00"/>
    <d v="2017-11-01T00:00:00"/>
    <s v="Standard Class"/>
    <s v="FM-14290"/>
    <s v="Frank Merwin"/>
    <x v="2"/>
    <s v="United States"/>
    <s v="Vancouver"/>
    <s v="Washington"/>
    <n v="98661"/>
    <x v="1"/>
    <s v="OFF-AR-10002956"/>
    <x v="1"/>
    <x v="8"/>
    <s v="Boston 16801 Nautilus Battery Pencil Sharpener"/>
    <n v="4402"/>
  </r>
  <r>
    <s v="CA-2016-124891"/>
    <x v="374"/>
    <d v="2016-07-31T00:00:00"/>
    <d v="2016-07-01T00:00:00"/>
    <s v="Same Day"/>
    <s v="RH-19495"/>
    <s v="Rick Hansen"/>
    <x v="0"/>
    <s v="United States"/>
    <s v="New York City"/>
    <s v="New York"/>
    <n v="10024"/>
    <x v="3"/>
    <s v="TEC-AC-10003033"/>
    <x v="2"/>
    <x v="12"/>
    <s v="Plantronics CS510 - Over-the-Head monaural Wireless Headset System"/>
    <n v="230965"/>
  </r>
  <r>
    <s v="CA-2016-126445"/>
    <x v="375"/>
    <d v="2016-08-31T00:00:00"/>
    <d v="2016-08-01T00:00:00"/>
    <s v="Standard Class"/>
    <s v="RA-19945"/>
    <s v="Ryan Akin"/>
    <x v="0"/>
    <s v="United States"/>
    <s v="Murrieta"/>
    <s v="California"/>
    <n v="92563"/>
    <x v="1"/>
    <s v="OFF-ST-10000046"/>
    <x v="1"/>
    <x v="7"/>
    <s v="Fellowes Super Stor/Drawer Files"/>
    <n v="48465"/>
  </r>
  <r>
    <s v="CA-2016-105312"/>
    <x v="376"/>
    <d v="2016-11-09T00:00:00"/>
    <d v="2016-11-01T00:00:00"/>
    <s v="First Class"/>
    <s v="MT-17815"/>
    <s v="Meg Tillman"/>
    <x v="0"/>
    <s v="United States"/>
    <s v="Scottsdale"/>
    <s v="Arizona"/>
    <n v="85254"/>
    <x v="1"/>
    <s v="OFF-EN-10002600"/>
    <x v="1"/>
    <x v="11"/>
    <s v="Redi-Strip #10 Envelopes, 4 1/8 x 9 1/2"/>
    <n v="708"/>
  </r>
  <r>
    <s v="US-2018-106705"/>
    <x v="377"/>
    <d v="2019-01-01T00:00:00"/>
    <d v="2018-12-01T00:00:00"/>
    <s v="Standard Class"/>
    <s v="PO-18850"/>
    <s v="Patrick O'Brill"/>
    <x v="0"/>
    <s v="United States"/>
    <s v="Burlington"/>
    <s v="Iowa"/>
    <n v="52601"/>
    <x v="2"/>
    <s v="OFF-PA-10001509"/>
    <x v="1"/>
    <x v="4"/>
    <s v="Recycled Desk Saver Line &quot;While You Were Out&quot; Book, 5 1/2&quot; X 4&quot;"/>
    <n v="4475"/>
  </r>
  <r>
    <s v="CA-2018-135034"/>
    <x v="378"/>
    <d v="2018-08-03T00:00:00"/>
    <d v="2018-08-01T00:00:00"/>
    <s v="First Class"/>
    <s v="AT-10735"/>
    <s v="Annie Thurman"/>
    <x v="0"/>
    <s v="United States"/>
    <s v="Chicago"/>
    <s v="Illinois"/>
    <n v="60653"/>
    <x v="2"/>
    <s v="TEC-PH-10003931"/>
    <x v="2"/>
    <x v="10"/>
    <s v="JBL Micro Wireless Portable Bluetooth Speaker"/>
    <n v="95984"/>
  </r>
  <r>
    <s v="US-2016-126214"/>
    <x v="379"/>
    <d v="2016-12-24T00:00:00"/>
    <d v="2016-12-01T00:00:00"/>
    <s v="Second Class"/>
    <s v="JS-15880"/>
    <s v="John Stevenson"/>
    <x v="0"/>
    <s v="United States"/>
    <s v="Seattle"/>
    <s v="Washington"/>
    <n v="98103"/>
    <x v="1"/>
    <s v="FUR-TA-10003748"/>
    <x v="0"/>
    <x v="2"/>
    <s v="Bevis 36 x 72 Conference Tables"/>
    <n v="161837"/>
  </r>
  <r>
    <s v="CA-2016-108665"/>
    <x v="380"/>
    <d v="2016-07-10T00:00:00"/>
    <d v="2016-07-01T00:00:00"/>
    <s v="Standard Class"/>
    <s v="KM-16225"/>
    <s v="Kalyca Meade"/>
    <x v="1"/>
    <s v="United States"/>
    <s v="New York City"/>
    <s v="New York"/>
    <n v="10011"/>
    <x v="3"/>
    <s v="FUR-FU-10002191"/>
    <x v="0"/>
    <x v="3"/>
    <s v="G.E. Halogen Desk Lamp Bulbs"/>
    <n v="1396"/>
  </r>
  <r>
    <s v="CA-2016-124450"/>
    <x v="381"/>
    <d v="2016-05-03T00:00:00"/>
    <d v="2016-04-01T00:00:00"/>
    <s v="Standard Class"/>
    <s v="GT-14710"/>
    <s v="Greg Tran"/>
    <x v="0"/>
    <s v="United States"/>
    <s v="Washington"/>
    <s v="District of Columbia"/>
    <n v="20016"/>
    <x v="3"/>
    <s v="OFF-AR-10001166"/>
    <x v="1"/>
    <x v="8"/>
    <s v="Staples in misc. colors"/>
    <n v="2274"/>
  </r>
  <r>
    <s v="CA-2016-167269"/>
    <x v="382"/>
    <d v="2016-06-20T00:00:00"/>
    <d v="2016-06-01T00:00:00"/>
    <s v="Standard Class"/>
    <s v="PB-19150"/>
    <s v="Philip Brown"/>
    <x v="0"/>
    <s v="United States"/>
    <s v="Philadelphia"/>
    <s v="Pennsylvania"/>
    <n v="19134"/>
    <x v="3"/>
    <s v="OFF-EN-10003072"/>
    <x v="1"/>
    <x v="11"/>
    <s v="Peel &amp; Seel Envelopes"/>
    <n v="6208"/>
  </r>
  <r>
    <s v="CA-2017-126529"/>
    <x v="383"/>
    <d v="2017-01-13T00:00:00"/>
    <d v="2017-01-01T00:00:00"/>
    <s v="Second Class"/>
    <s v="DE-13255"/>
    <s v="Deanra Eno"/>
    <x v="2"/>
    <s v="United States"/>
    <s v="Springfield"/>
    <s v="Ohio"/>
    <n v="45503"/>
    <x v="3"/>
    <s v="OFF-PA-10001166"/>
    <x v="1"/>
    <x v="4"/>
    <s v="Xerox 2"/>
    <n v="15552"/>
  </r>
  <r>
    <s v="CA-2015-163552"/>
    <x v="384"/>
    <d v="2015-07-15T00:00:00"/>
    <d v="2015-07-01T00:00:00"/>
    <s v="Standard Class"/>
    <s v="LA-16780"/>
    <s v="Laura Armstrong"/>
    <x v="1"/>
    <s v="United States"/>
    <s v="Hackensack"/>
    <s v="New Jersey"/>
    <n v="7601"/>
    <x v="3"/>
    <s v="OFF-PA-10000474"/>
    <x v="1"/>
    <x v="4"/>
    <s v="Easy-staple paper"/>
    <n v="1772"/>
  </r>
  <r>
    <s v="CA-2016-127418"/>
    <x v="385"/>
    <d v="2016-06-14T00:00:00"/>
    <d v="2016-06-01T00:00:00"/>
    <s v="First Class"/>
    <s v="JJ-15445"/>
    <s v="Jennifer Jackson"/>
    <x v="0"/>
    <s v="United States"/>
    <s v="Los Angeles"/>
    <s v="California"/>
    <n v="90004"/>
    <x v="1"/>
    <s v="OFF-BI-10003707"/>
    <x v="1"/>
    <x v="5"/>
    <s v="Aluminum Screw Posts"/>
    <n v="36624"/>
  </r>
  <r>
    <s v="CA-2018-152702"/>
    <x v="386"/>
    <d v="2018-10-16T00:00:00"/>
    <d v="2018-10-01T00:00:00"/>
    <s v="Standard Class"/>
    <s v="SN-20710"/>
    <s v="Steve Nguyen"/>
    <x v="2"/>
    <s v="United States"/>
    <s v="Rockford"/>
    <s v="Illinois"/>
    <n v="61107"/>
    <x v="2"/>
    <s v="FUR-CH-10002304"/>
    <x v="0"/>
    <x v="9"/>
    <s v="Global Stack Chair without Arms, Black"/>
    <n v="254604"/>
  </r>
  <r>
    <s v="CA-2017-169103"/>
    <x v="387"/>
    <d v="2017-03-13T00:00:00"/>
    <d v="2017-03-01T00:00:00"/>
    <s v="Standard Class"/>
    <s v="ZC-21910"/>
    <s v="Zuschuss Carroll"/>
    <x v="0"/>
    <s v="United States"/>
    <s v="Miami"/>
    <s v="Florida"/>
    <n v="33142"/>
    <x v="0"/>
    <s v="TEC-PH-10001530"/>
    <x v="2"/>
    <x v="10"/>
    <s v="Cisco Unified IP Phone 7945G VoIP phone"/>
    <n v="136396"/>
  </r>
  <r>
    <s v="CA-2016-110667"/>
    <x v="388"/>
    <d v="2016-04-08T00:00:00"/>
    <d v="2016-04-01T00:00:00"/>
    <s v="Standard Class"/>
    <s v="NF-18595"/>
    <s v="Nicole Fjeld"/>
    <x v="2"/>
    <s v="United States"/>
    <s v="New York City"/>
    <s v="New York"/>
    <n v="10009"/>
    <x v="3"/>
    <s v="OFF-AR-10000716"/>
    <x v="1"/>
    <x v="8"/>
    <s v="DIXON Ticonderoga Erasable Checking Pencils"/>
    <n v="1116"/>
  </r>
  <r>
    <s v="CA-2018-167150"/>
    <x v="389"/>
    <d v="2018-12-17T00:00:00"/>
    <d v="2018-12-01T00:00:00"/>
    <s v="Standard Class"/>
    <s v="BP-11185"/>
    <s v="Ben Peterman"/>
    <x v="1"/>
    <s v="United States"/>
    <s v="San Diego"/>
    <s v="California"/>
    <n v="92037"/>
    <x v="1"/>
    <s v="OFF-BI-10001097"/>
    <x v="1"/>
    <x v="5"/>
    <s v="Avery Hole Reinforcements"/>
    <n v="19936"/>
  </r>
  <r>
    <s v="CA-2017-105284"/>
    <x v="390"/>
    <d v="2017-12-01T00:00:00"/>
    <d v="2017-11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416"/>
  </r>
  <r>
    <s v="US-2016-125374"/>
    <x v="391"/>
    <d v="2016-03-29T00:00:00"/>
    <d v="2016-03-01T00:00:00"/>
    <s v="Standard Class"/>
    <s v="JD-16060"/>
    <s v="Julia Dunbar"/>
    <x v="0"/>
    <s v="United States"/>
    <s v="Houston"/>
    <s v="Texas"/>
    <n v="77095"/>
    <x v="2"/>
    <s v="FUR-CH-10003396"/>
    <x v="0"/>
    <x v="9"/>
    <s v="Global Deluxe Steno Chair"/>
    <n v="107772"/>
  </r>
  <r>
    <s v="CA-2016-161263"/>
    <x v="392"/>
    <d v="2016-04-21T00:00:00"/>
    <d v="2016-04-01T00:00:00"/>
    <s v="Standard Class"/>
    <s v="TS-21160"/>
    <s v="Theresa Swint"/>
    <x v="1"/>
    <s v="United States"/>
    <s v="Toledo"/>
    <s v="Ohio"/>
    <n v="43615"/>
    <x v="3"/>
    <s v="OFF-AP-10002350"/>
    <x v="1"/>
    <x v="6"/>
    <s v="Belkin F9H710-06 7 Outlet SurgeMaster Surge Protector"/>
    <n v="45216"/>
  </r>
  <r>
    <s v="CA-2017-157686"/>
    <x v="393"/>
    <d v="2017-10-02T00:00:00"/>
    <d v="2017-10-01T00:00:00"/>
    <s v="First Class"/>
    <s v="BD-11620"/>
    <s v="Brian DeCherney"/>
    <x v="0"/>
    <s v="United States"/>
    <s v="San Francisco"/>
    <s v="California"/>
    <n v="94122"/>
    <x v="1"/>
    <s v="FUR-CH-10001146"/>
    <x v="0"/>
    <x v="9"/>
    <s v="Global Value Mid-Back Manager's Chair, Gray"/>
    <n v="194848"/>
  </r>
  <r>
    <s v="US-2018-139955"/>
    <x v="394"/>
    <d v="2018-09-30T00:00:00"/>
    <d v="2018-09-01T00:00:00"/>
    <s v="Second Class"/>
    <s v="CM-12160"/>
    <s v="Charles McCrossin"/>
    <x v="0"/>
    <s v="United States"/>
    <s v="Brownsville"/>
    <s v="Texas"/>
    <n v="78521"/>
    <x v="2"/>
    <s v="OFF-SU-10001935"/>
    <x v="1"/>
    <x v="16"/>
    <s v="Staple remover"/>
    <n v="1744"/>
  </r>
  <r>
    <s v="US-2016-150161"/>
    <x v="395"/>
    <d v="2016-07-29T00:00:00"/>
    <d v="2016-07-01T00:00:00"/>
    <s v="Standard Class"/>
    <s v="RB-19795"/>
    <s v="Ross Baird"/>
    <x v="2"/>
    <s v="United States"/>
    <s v="Philadelphia"/>
    <s v="Pennsylvania"/>
    <n v="19143"/>
    <x v="3"/>
    <s v="OFF-BI-10001524"/>
    <x v="1"/>
    <x v="5"/>
    <s v="GBC Premium Transparent Covers with Diagonal Lined Pattern"/>
    <n v="25176"/>
  </r>
  <r>
    <s v="CA-2017-134348"/>
    <x v="396"/>
    <d v="2017-11-19T00:00:00"/>
    <d v="2017-11-01T00:00:00"/>
    <s v="Standard Class"/>
    <s v="MS-17710"/>
    <s v="Maurice Satty"/>
    <x v="0"/>
    <s v="United States"/>
    <s v="Mesa"/>
    <s v="Arizona"/>
    <n v="85204"/>
    <x v="1"/>
    <s v="OFF-BI-10003727"/>
    <x v="1"/>
    <x v="5"/>
    <s v="Avery Durable Slant Ring Binders With Label Holder"/>
    <n v="627"/>
  </r>
  <r>
    <s v="CA-2018-132521"/>
    <x v="397"/>
    <d v="2018-09-25T00:00:00"/>
    <d v="2018-09-01T00:00:00"/>
    <s v="Second Class"/>
    <s v="DW-13540"/>
    <s v="Don Weiss"/>
    <x v="0"/>
    <s v="United States"/>
    <s v="Seattle"/>
    <s v="Washington"/>
    <n v="98105"/>
    <x v="1"/>
    <s v="OFF-AP-10002191"/>
    <x v="1"/>
    <x v="6"/>
    <s v="Belkin 8 Outlet SurgeMaster II Gold Surge Protector"/>
    <n v="11996"/>
  </r>
  <r>
    <s v="US-2017-143819"/>
    <x v="398"/>
    <d v="2017-03-05T00:00:00"/>
    <d v="2017-03-01T00:00:00"/>
    <s v="Standard Class"/>
    <s v="KD-16270"/>
    <s v="Karen Daniels"/>
    <x v="0"/>
    <s v="United States"/>
    <s v="Yonkers"/>
    <s v="New York"/>
    <n v="10701"/>
    <x v="3"/>
    <s v="FUR-TA-10001095"/>
    <x v="0"/>
    <x v="2"/>
    <s v="Chromcraft Round Conference Tables"/>
    <n v="836592"/>
  </r>
  <r>
    <s v="CA-2017-167584"/>
    <x v="399"/>
    <d v="2017-08-12T00:00:00"/>
    <d v="2017-08-01T00:00:00"/>
    <s v="Same Day"/>
    <s v="LC-16870"/>
    <s v="Lena Cacioppo"/>
    <x v="0"/>
    <s v="United States"/>
    <s v="Des Moines"/>
    <s v="Iowa"/>
    <n v="50315"/>
    <x v="2"/>
    <s v="OFF-PA-10000029"/>
    <x v="1"/>
    <x v="4"/>
    <s v="Xerox 224"/>
    <n v="648"/>
  </r>
  <r>
    <s v="CA-2018-158407"/>
    <x v="400"/>
    <d v="2018-06-10T00:00:00"/>
    <d v="2018-06-01T00:00:00"/>
    <s v="Standard Class"/>
    <s v="LW-16990"/>
    <s v="Lindsay Williams"/>
    <x v="1"/>
    <s v="United States"/>
    <s v="Monroe"/>
    <s v="North Carolina"/>
    <n v="28110"/>
    <x v="0"/>
    <s v="FUR-FU-10001967"/>
    <x v="0"/>
    <x v="3"/>
    <s v="Telescoping Adjustable Floor Lamp"/>
    <n v="31984"/>
  </r>
  <r>
    <s v="CA-2016-143490"/>
    <x v="401"/>
    <d v="2016-12-13T00:00:00"/>
    <d v="2016-12-01T00:00:00"/>
    <s v="Standard Class"/>
    <s v="NP-18325"/>
    <s v="Naresj Patel"/>
    <x v="0"/>
    <s v="United States"/>
    <s v="San Diego"/>
    <s v="California"/>
    <n v="92105"/>
    <x v="1"/>
    <s v="OFF-AR-10002952"/>
    <x v="1"/>
    <x v="8"/>
    <s v="Stanley Contemporary Battery Pencil Sharpeners"/>
    <n v="12015"/>
  </r>
  <r>
    <s v="CA-2015-159338"/>
    <x v="402"/>
    <d v="2015-06-28T00:00:00"/>
    <d v="2015-06-01T00:00:00"/>
    <s v="First Class"/>
    <s v="NS-18640"/>
    <s v="Noel Staavos"/>
    <x v="1"/>
    <s v="United States"/>
    <s v="Los Angeles"/>
    <s v="California"/>
    <n v="90049"/>
    <x v="1"/>
    <s v="FUR-TA-10004147"/>
    <x v="0"/>
    <x v="2"/>
    <s v="Hon 4060 Series Tables"/>
    <n v="44784"/>
  </r>
  <r>
    <s v="CA-2017-107216"/>
    <x v="403"/>
    <d v="2017-06-17T00:00:00"/>
    <d v="2017-06-01T00:00:00"/>
    <s v="First Class"/>
    <s v="PV-18985"/>
    <s v="Paul Van Hugh"/>
    <x v="2"/>
    <s v="United States"/>
    <s v="San Francisco"/>
    <s v="California"/>
    <n v="94122"/>
    <x v="1"/>
    <s v="OFF-AR-10001545"/>
    <x v="1"/>
    <x v="8"/>
    <s v="Newell 326"/>
    <n v="704"/>
  </r>
  <r>
    <s v="CA-2018-140585"/>
    <x v="404"/>
    <d v="2018-12-23T00:00:00"/>
    <d v="2018-12-01T00:00:00"/>
    <s v="Second Class"/>
    <s v="RA-19915"/>
    <s v="Russell Applegate"/>
    <x v="0"/>
    <s v="United States"/>
    <s v="Encinitas"/>
    <s v="California"/>
    <n v="92024"/>
    <x v="1"/>
    <s v="OFF-BI-10003364"/>
    <x v="1"/>
    <x v="5"/>
    <s v="Binding Machine Supplies"/>
    <n v="46672"/>
  </r>
  <r>
    <s v="CA-2017-144855"/>
    <x v="405"/>
    <d v="2017-07-24T00:00:00"/>
    <d v="2017-07-01T00:00:00"/>
    <s v="Second Class"/>
    <s v="DL-13495"/>
    <s v="Dionis Lloyd"/>
    <x v="1"/>
    <s v="United States"/>
    <s v="San Francisco"/>
    <s v="California"/>
    <n v="94110"/>
    <x v="1"/>
    <s v="OFF-LA-10003766"/>
    <x v="1"/>
    <x v="1"/>
    <s v="Self-Adhesive Removable Labels"/>
    <n v="63"/>
  </r>
  <r>
    <s v="CA-2016-142755"/>
    <x v="406"/>
    <d v="2016-09-08T00:00:00"/>
    <d v="2016-09-01T00:00:00"/>
    <s v="Standard Class"/>
    <s v="CS-12355"/>
    <s v="Christine Sundaresam"/>
    <x v="0"/>
    <s v="United States"/>
    <s v="Roswell"/>
    <s v="Georgia"/>
    <n v="30076"/>
    <x v="0"/>
    <s v="OFF-PA-10001970"/>
    <x v="1"/>
    <x v="4"/>
    <s v="Xerox 1908"/>
    <n v="2799"/>
  </r>
  <r>
    <s v="US-2015-147627"/>
    <x v="407"/>
    <d v="2015-01-26T00:00:00"/>
    <d v="2015-01-01T00:00:00"/>
    <s v="Standard Class"/>
    <s v="HL-15040"/>
    <s v="Hunter Lopez"/>
    <x v="0"/>
    <s v="United States"/>
    <s v="Jonesboro"/>
    <s v="Arkansas"/>
    <n v="72401"/>
    <x v="0"/>
    <s v="TEC-PH-10001061"/>
    <x v="2"/>
    <x v="10"/>
    <s v="Apple iPhone 5C"/>
    <n v="69993"/>
  </r>
  <r>
    <s v="CA-2017-112102"/>
    <x v="408"/>
    <d v="2017-04-16T00:00:00"/>
    <d v="2017-04-01T00:00:00"/>
    <s v="Standard Class"/>
    <s v="BD-11605"/>
    <s v="Brian Dahlen"/>
    <x v="0"/>
    <s v="United States"/>
    <s v="Springfield"/>
    <s v="Virginia"/>
    <n v="22153"/>
    <x v="0"/>
    <s v="FUR-TA-10004086"/>
    <x v="0"/>
    <x v="2"/>
    <s v="KI Adjustable-Height Table"/>
    <n v="34392"/>
  </r>
  <r>
    <s v="US-2017-114776"/>
    <x v="409"/>
    <d v="2017-12-07T00:00:00"/>
    <d v="2017-12-01T00:00:00"/>
    <s v="First Class"/>
    <s v="GG-14650"/>
    <s v="Greg Guthrie"/>
    <x v="1"/>
    <s v="United States"/>
    <s v="Antioch"/>
    <s v="California"/>
    <n v="94509"/>
    <x v="1"/>
    <s v="OFF-PA-10004100"/>
    <x v="1"/>
    <x v="4"/>
    <s v="Xerox 216"/>
    <n v="1944"/>
  </r>
  <r>
    <s v="US-2017-134908"/>
    <x v="410"/>
    <d v="2017-06-09T00:00:00"/>
    <d v="2017-06-01T00:00:00"/>
    <s v="Standard Class"/>
    <s v="JS-15940"/>
    <s v="Joni Sundaresam"/>
    <x v="2"/>
    <s v="United States"/>
    <s v="Philadelphia"/>
    <s v="Pennsylvania"/>
    <n v="19134"/>
    <x v="3"/>
    <s v="OFF-ST-10003479"/>
    <x v="1"/>
    <x v="7"/>
    <s v="Eldon Base for stackable storage shelf, platinum"/>
    <n v="124608"/>
  </r>
  <r>
    <s v="CA-2015-146969"/>
    <x v="411"/>
    <d v="2015-10-03T00:00:00"/>
    <d v="2015-09-01T00:00:00"/>
    <s v="Standard Class"/>
    <s v="AP-10915"/>
    <s v="Arthur Prichep"/>
    <x v="0"/>
    <s v="United States"/>
    <s v="Los Angeles"/>
    <s v="California"/>
    <n v="90045"/>
    <x v="1"/>
    <s v="FUR-FU-10004188"/>
    <x v="0"/>
    <x v="3"/>
    <s v="Luxo Professional Combination Clamp-On Lamps"/>
    <n v="2046"/>
  </r>
  <r>
    <s v="CA-2016-113971"/>
    <x v="412"/>
    <d v="2016-05-14T00:00:00"/>
    <d v="2016-05-01T00:00:00"/>
    <s v="Standard Class"/>
    <s v="CB-12535"/>
    <s v="Claudia Bergmann"/>
    <x v="1"/>
    <s v="United States"/>
    <s v="Cuyahoga Falls"/>
    <s v="Ohio"/>
    <n v="44221"/>
    <x v="3"/>
    <s v="FUR-FU-10001852"/>
    <x v="0"/>
    <x v="3"/>
    <s v="Eldon Regeneration Recycled Desk Accessories, Smoke"/>
    <n v="8352"/>
  </r>
  <r>
    <s v="CA-2017-160395"/>
    <x v="413"/>
    <d v="2018-01-06T00:00:00"/>
    <d v="2017-12-01T00:00:00"/>
    <s v="Standard Class"/>
    <s v="KL-16555"/>
    <s v="Kelly Lampkin"/>
    <x v="1"/>
    <s v="United States"/>
    <s v="Reno"/>
    <s v="Nevada"/>
    <n v="89502"/>
    <x v="1"/>
    <s v="OFF-AR-10003759"/>
    <x v="1"/>
    <x v="8"/>
    <s v="Crayola Anti Dust Chalk, 12/Pack"/>
    <n v="364"/>
  </r>
  <r>
    <s v="CA-2015-136567"/>
    <x v="414"/>
    <d v="2015-12-21T00:00:00"/>
    <d v="2015-12-01T00:00:00"/>
    <s v="First Class"/>
    <s v="PS-19045"/>
    <s v="Penelope Sewall"/>
    <x v="2"/>
    <s v="United States"/>
    <s v="Harrisonburg"/>
    <s v="Virginia"/>
    <n v="22801"/>
    <x v="0"/>
    <s v="OFF-ST-10004337"/>
    <x v="1"/>
    <x v="7"/>
    <s v="SAFCO Commercial Wire Shelving, 72h"/>
    <n v="12248"/>
  </r>
  <r>
    <s v="CA-2017-149314"/>
    <x v="415"/>
    <d v="2017-07-07T00:00:00"/>
    <d v="2017-07-01T00:00:00"/>
    <s v="Second Class"/>
    <s v="GB-14530"/>
    <s v="George Bell"/>
    <x v="1"/>
    <s v="United States"/>
    <s v="Los Angeles"/>
    <s v="California"/>
    <n v="90004"/>
    <x v="1"/>
    <s v="FUR-CH-10002126"/>
    <x v="0"/>
    <x v="9"/>
    <s v="Hon Deluxe Fabric Upholstered Stacking Chairs"/>
    <n v="195184"/>
  </r>
  <r>
    <s v="CA-2015-126522"/>
    <x v="416"/>
    <d v="2015-09-05T00:00:00"/>
    <d v="2015-09-01T00:00:00"/>
    <s v="Second Class"/>
    <s v="LT-16765"/>
    <s v="Larry Tron"/>
    <x v="0"/>
    <s v="United States"/>
    <s v="Escondido"/>
    <s v="California"/>
    <n v="92025"/>
    <x v="1"/>
    <s v="OFF-AR-10004042"/>
    <x v="1"/>
    <x v="8"/>
    <s v="BOSTON Model 1800 Electric Pencil Sharpeners, Putty/Woodgrain"/>
    <n v="5394"/>
  </r>
  <r>
    <s v="CA-2015-117709"/>
    <x v="417"/>
    <d v="2015-05-08T00:00:00"/>
    <d v="2015-05-01T00:00:00"/>
    <s v="Standard Class"/>
    <s v="PM-18940"/>
    <s v="Paul MacIntyre"/>
    <x v="0"/>
    <s v="United States"/>
    <s v="Jackson"/>
    <s v="Michigan"/>
    <n v="49201"/>
    <x v="2"/>
    <s v="OFF-BI-10001294"/>
    <x v="1"/>
    <x v="5"/>
    <s v="Fellowes Binding Cases"/>
    <n v="468"/>
  </r>
  <r>
    <s v="US-2015-100279"/>
    <x v="418"/>
    <d v="2015-03-14T00:00:00"/>
    <d v="2015-03-01T00:00:00"/>
    <s v="Standard Class"/>
    <s v="SW-20275"/>
    <s v="Scott Williamson"/>
    <x v="0"/>
    <s v="United States"/>
    <s v="Royal Oak"/>
    <s v="Michigan"/>
    <n v="48073"/>
    <x v="2"/>
    <s v="OFF-PA-10002259"/>
    <x v="1"/>
    <x v="4"/>
    <s v="Geographics Note Cards, Blank, White, 8 1/2&quot; x 11&quot;"/>
    <n v="2238"/>
  </r>
  <r>
    <s v="CA-2015-158064"/>
    <x v="419"/>
    <d v="2015-04-25T00:00:00"/>
    <d v="2015-04-01T00:00:00"/>
    <s v="Standard Class"/>
    <s v="AA-10375"/>
    <s v="Allen Armold"/>
    <x v="0"/>
    <s v="United States"/>
    <s v="Los Angeles"/>
    <s v="California"/>
    <n v="90008"/>
    <x v="1"/>
    <s v="OFF-BI-10002976"/>
    <x v="1"/>
    <x v="5"/>
    <s v="ACCOHIDE Binder by Acco"/>
    <n v="1652"/>
  </r>
  <r>
    <s v="US-2016-104430"/>
    <x v="420"/>
    <d v="2016-10-26T00:00:00"/>
    <d v="2016-10-01T00:00:00"/>
    <s v="Standard Class"/>
    <s v="LT-17110"/>
    <s v="Liz Thompson"/>
    <x v="0"/>
    <s v="United States"/>
    <s v="Bloomington"/>
    <s v="Illinois"/>
    <n v="61701"/>
    <x v="2"/>
    <s v="OFF-BI-10000301"/>
    <x v="1"/>
    <x v="5"/>
    <s v="GBC Instant Report Kit"/>
    <n v="5176"/>
  </r>
  <r>
    <s v="CA-2016-132080"/>
    <x v="421"/>
    <d v="2016-08-25T00:00:00"/>
    <d v="2016-08-01T00:00:00"/>
    <s v="First Class"/>
    <s v="DP-13105"/>
    <s v="Dave Poirier"/>
    <x v="1"/>
    <s v="United States"/>
    <s v="New York City"/>
    <s v="New York"/>
    <n v="10035"/>
    <x v="3"/>
    <s v="OFF-BI-10003694"/>
    <x v="1"/>
    <x v="5"/>
    <s v="Avery 3 1/2&quot; Diskette Storage Pages, 10/Pack"/>
    <n v="50112"/>
  </r>
  <r>
    <s v="CA-2015-120243"/>
    <x v="422"/>
    <d v="2015-12-30T00:00:00"/>
    <d v="2015-12-01T00:00:00"/>
    <s v="Second Class"/>
    <s v="AT-10435"/>
    <s v="Alyssa Tate"/>
    <x v="2"/>
    <s v="United States"/>
    <s v="Los Angeles"/>
    <s v="California"/>
    <n v="90004"/>
    <x v="1"/>
    <s v="OFF-LA-10004425"/>
    <x v="1"/>
    <x v="1"/>
    <s v="Staple-on labels"/>
    <n v="1156"/>
  </r>
  <r>
    <s v="CA-2017-168081"/>
    <x v="423"/>
    <d v="2017-04-27T00:00:00"/>
    <d v="2017-04-01T00:00:00"/>
    <s v="Second Class"/>
    <s v="CA-12055"/>
    <s v="Cathy Armstrong"/>
    <x v="2"/>
    <s v="United States"/>
    <s v="Houston"/>
    <s v="Texas"/>
    <n v="77070"/>
    <x v="2"/>
    <s v="TEC-AC-10003174"/>
    <x v="2"/>
    <x v="12"/>
    <s v="Plantronics S12 Corded Telephone Headset System"/>
    <n v="258696"/>
  </r>
  <r>
    <s v="CA-2018-138779"/>
    <x v="424"/>
    <d v="2018-01-15T00:00:00"/>
    <d v="2018-01-01T00:00:00"/>
    <s v="First Class"/>
    <s v="RB-19570"/>
    <s v="Rob Beeghly"/>
    <x v="0"/>
    <s v="United States"/>
    <s v="Jacksonville"/>
    <s v="North Carolina"/>
    <n v="28540"/>
    <x v="0"/>
    <s v="OFF-EN-10002504"/>
    <x v="1"/>
    <x v="11"/>
    <s v="Tyvek  Top-Opening Peel &amp; Seel Envelopes, Plain White"/>
    <n v="21744"/>
  </r>
  <r>
    <s v="CA-2018-117212"/>
    <x v="425"/>
    <d v="2018-02-28T00:00:00"/>
    <d v="2018-02-01T00:00:00"/>
    <s v="Second Class"/>
    <s v="BT-11530"/>
    <s v="Bradley Talbott"/>
    <x v="2"/>
    <s v="United States"/>
    <s v="Los Angeles"/>
    <s v="California"/>
    <n v="90036"/>
    <x v="1"/>
    <s v="OFF-AP-10004532"/>
    <x v="1"/>
    <x v="6"/>
    <s v="Kensington 6 Outlet Guardian Standard Surge Protector"/>
    <n v="8192"/>
  </r>
  <r>
    <s v="US-2016-130519"/>
    <x v="426"/>
    <d v="2016-09-15T00:00:00"/>
    <d v="2016-09-01T00:00:00"/>
    <s v="Same Day"/>
    <s v="NG-18355"/>
    <s v="Nat Gilpin"/>
    <x v="1"/>
    <s v="United States"/>
    <s v="Coral Springs"/>
    <s v="Florida"/>
    <n v="33065"/>
    <x v="0"/>
    <s v="OFF-PA-10001937"/>
    <x v="1"/>
    <x v="4"/>
    <s v="Xerox 21"/>
    <n v="15552"/>
  </r>
  <r>
    <s v="CA-2017-114727"/>
    <x v="427"/>
    <d v="2017-07-24T00:00:00"/>
    <d v="2017-07-01T00:00:00"/>
    <s v="Standard Class"/>
    <s v="LS-16945"/>
    <s v="Linda Southworth"/>
    <x v="1"/>
    <s v="United States"/>
    <s v="Denver"/>
    <s v="Colorado"/>
    <n v="80219"/>
    <x v="1"/>
    <s v="FUR-CH-10002335"/>
    <x v="0"/>
    <x v="9"/>
    <s v="Hon GuestStacker Chair"/>
    <n v="544008"/>
  </r>
  <r>
    <s v="US-2018-118087"/>
    <x v="428"/>
    <d v="2018-09-13T00:00:00"/>
    <d v="2018-09-01T00:00:00"/>
    <s v="Standard Class"/>
    <s v="SP-20620"/>
    <s v="Stefania Perrino"/>
    <x v="1"/>
    <s v="United States"/>
    <s v="Philadelphia"/>
    <s v="Pennsylvania"/>
    <n v="19134"/>
    <x v="3"/>
    <s v="FUR-CH-10004860"/>
    <x v="0"/>
    <x v="9"/>
    <s v="Global Low Back Tilter Chair"/>
    <n v="141372"/>
  </r>
  <r>
    <s v="CA-2017-126004"/>
    <x v="429"/>
    <d v="2017-12-05T00:00:00"/>
    <d v="2017-12-01T00:00:00"/>
    <s v="First Class"/>
    <s v="BM-11140"/>
    <s v="Becky Martin"/>
    <x v="0"/>
    <s v="United States"/>
    <s v="New York City"/>
    <s v="New York"/>
    <n v="10024"/>
    <x v="3"/>
    <s v="FUR-FU-10001602"/>
    <x v="0"/>
    <x v="3"/>
    <s v="Eldon Delta Triangular Chair Mat, 52&quot; x 58&quot;, Clear"/>
    <n v="11379"/>
  </r>
  <r>
    <s v="CA-2015-127012"/>
    <x v="430"/>
    <d v="2015-08-15T00:00:00"/>
    <d v="2015-08-01T00:00:00"/>
    <s v="Standard Class"/>
    <s v="GM-14680"/>
    <s v="Greg Matthias"/>
    <x v="0"/>
    <s v="United States"/>
    <s v="Seattle"/>
    <s v="Washington"/>
    <n v="98105"/>
    <x v="1"/>
    <s v="FUR-FU-10003691"/>
    <x v="0"/>
    <x v="3"/>
    <s v="Eldon Image Series Desk Accessories, Ebony"/>
    <n v="1235"/>
  </r>
  <r>
    <s v="US-2017-162859"/>
    <x v="431"/>
    <d v="2017-02-22T00:00:00"/>
    <d v="2017-02-01T00:00:00"/>
    <s v="Standard Class"/>
    <s v="PG-18820"/>
    <s v="Patrick Gardner"/>
    <x v="0"/>
    <s v="United States"/>
    <s v="New York City"/>
    <s v="New York"/>
    <n v="10009"/>
    <x v="3"/>
    <s v="OFF-BI-10004519"/>
    <x v="1"/>
    <x v="5"/>
    <s v="GBC DocuBind P100 Manual Binding Machine"/>
    <n v="398352"/>
  </r>
  <r>
    <s v="CA-2015-168494"/>
    <x v="432"/>
    <d v="2015-12-14T00:00:00"/>
    <d v="2015-12-01T00:00:00"/>
    <s v="Second Class"/>
    <s v="NP-18700"/>
    <s v="Nora Preis"/>
    <x v="0"/>
    <s v="United States"/>
    <s v="Fresno"/>
    <s v="California"/>
    <n v="93727"/>
    <x v="1"/>
    <s v="FUR-TA-10004619"/>
    <x v="0"/>
    <x v="2"/>
    <s v="Hon Non-Folding Utility Tables"/>
    <n v="764688"/>
  </r>
  <r>
    <s v="CA-2016-154956"/>
    <x v="433"/>
    <d v="2016-07-09T00:00:00"/>
    <d v="2016-07-01T00:00:00"/>
    <s v="Standard Class"/>
    <s v="IM-15070"/>
    <s v="Irene Maddox"/>
    <x v="0"/>
    <s v="United States"/>
    <s v="Milwaukee"/>
    <s v="Wisconsin"/>
    <n v="53209"/>
    <x v="2"/>
    <s v="TEC-PH-10004165"/>
    <x v="2"/>
    <x v="10"/>
    <s v="Mitel MiVoice 5330e IP Phone"/>
    <n v="109996"/>
  </r>
  <r>
    <s v="CA-2018-144638"/>
    <x v="434"/>
    <d v="2018-03-14T00:00:00"/>
    <d v="2018-03-01T00:00:00"/>
    <s v="Standard Class"/>
    <s v="MH-18115"/>
    <s v="Mick Hernandez"/>
    <x v="2"/>
    <s v="United States"/>
    <s v="Chester"/>
    <s v="Pennsylvania"/>
    <n v="19013"/>
    <x v="3"/>
    <s v="OFF-AR-10003958"/>
    <x v="1"/>
    <x v="8"/>
    <s v="Newell 337"/>
    <n v="5248"/>
  </r>
  <r>
    <s v="US-2017-168620"/>
    <x v="435"/>
    <d v="2017-12-28T00:00:00"/>
    <d v="2017-12-01T00:00:00"/>
    <s v="Second Class"/>
    <s v="RB-19795"/>
    <s v="Ross Baird"/>
    <x v="2"/>
    <s v="United States"/>
    <s v="Charlotte"/>
    <s v="North Carolina"/>
    <n v="28205"/>
    <x v="0"/>
    <s v="OFF-BI-10001575"/>
    <x v="1"/>
    <x v="5"/>
    <s v="GBC Linen Binding Covers"/>
    <n v="27882"/>
  </r>
  <r>
    <s v="CA-2018-117079"/>
    <x v="436"/>
    <d v="2018-10-27T00:00:00"/>
    <d v="2018-10-01T00:00:00"/>
    <s v="Standard Class"/>
    <s v="JR-15700"/>
    <s v="Jocasta Rupert"/>
    <x v="0"/>
    <s v="United States"/>
    <s v="Jacksonville"/>
    <s v="Florida"/>
    <n v="32216"/>
    <x v="0"/>
    <s v="TEC-PH-10004586"/>
    <x v="2"/>
    <x v="10"/>
    <s v="Wilson SignalBoost 841262 DB PRO Amplifier Kit"/>
    <n v="86388"/>
  </r>
  <r>
    <s v="CA-2018-105053"/>
    <x v="437"/>
    <d v="2018-07-09T00:00:00"/>
    <d v="2018-07-01T00:00:00"/>
    <s v="Second Class"/>
    <s v="CS-12355"/>
    <s v="Christine Sundaresam"/>
    <x v="0"/>
    <s v="United States"/>
    <s v="Long Beach"/>
    <s v="New York"/>
    <n v="11561"/>
    <x v="3"/>
    <s v="OFF-BI-10001634"/>
    <x v="1"/>
    <x v="5"/>
    <s v="Wilson Jones Active Use Binders"/>
    <n v="17472"/>
  </r>
  <r>
    <s v="US-2017-103646"/>
    <x v="438"/>
    <d v="2017-04-26T00:00:00"/>
    <d v="2017-04-01T00:00:00"/>
    <s v="Standard Class"/>
    <s v="SP-20545"/>
    <s v="Sibella Parks"/>
    <x v="1"/>
    <s v="United States"/>
    <s v="Chicago"/>
    <s v="Illinois"/>
    <n v="60623"/>
    <x v="2"/>
    <s v="OFF-ST-10000563"/>
    <x v="1"/>
    <x v="7"/>
    <s v="Fellowes Bankers Box Stor/Drawer Steel Plus"/>
    <n v="102336"/>
  </r>
  <r>
    <s v="CA-2017-119186"/>
    <x v="439"/>
    <d v="2017-05-26T00:00:00"/>
    <d v="2017-05-01T00:00:00"/>
    <s v="Same Day"/>
    <s v="MS-17710"/>
    <s v="Maurice Satty"/>
    <x v="0"/>
    <s v="United States"/>
    <s v="Fort Worth"/>
    <s v="Texas"/>
    <n v="76106"/>
    <x v="2"/>
    <s v="OFF-PA-10004621"/>
    <x v="1"/>
    <x v="4"/>
    <s v="Xerox 212"/>
    <n v="10368"/>
  </r>
  <r>
    <s v="CA-2017-148698"/>
    <x v="440"/>
    <d v="2017-05-07T00:00:00"/>
    <d v="2017-05-01T00:00:00"/>
    <s v="Standard Class"/>
    <s v="BD-11770"/>
    <s v="Bryan Davis"/>
    <x v="0"/>
    <s v="United States"/>
    <s v="Houston"/>
    <s v="Texas"/>
    <n v="77070"/>
    <x v="2"/>
    <s v="OFF-AR-10004022"/>
    <x v="1"/>
    <x v="8"/>
    <s v="Panasonic KP-380BK Classic Electric Pencil Sharpener"/>
    <n v="86352"/>
  </r>
  <r>
    <s v="CA-2017-154711"/>
    <x v="441"/>
    <d v="2017-11-26T00:00:00"/>
    <d v="2017-11-01T00:00:00"/>
    <s v="Standard Class"/>
    <s v="TB-21355"/>
    <s v="Todd Boyes"/>
    <x v="1"/>
    <s v="United States"/>
    <s v="New York City"/>
    <s v="New York"/>
    <n v="10009"/>
    <x v="3"/>
    <s v="FUR-FU-10000397"/>
    <x v="0"/>
    <x v="3"/>
    <s v="Luxo Economy Swing Arm Lamp"/>
    <n v="3988"/>
  </r>
  <r>
    <s v="CA-2016-138898"/>
    <x v="442"/>
    <d v="2016-05-29T00:00:00"/>
    <d v="2016-05-01T00:00:00"/>
    <s v="Standard Class"/>
    <s v="JH-16180"/>
    <s v="Justin Hirsh"/>
    <x v="0"/>
    <s v="United States"/>
    <s v="Pueblo"/>
    <s v="Colorado"/>
    <n v="81001"/>
    <x v="1"/>
    <s v="OFF-AP-10004487"/>
    <x v="1"/>
    <x v="6"/>
    <s v="Kensington 4 Outlet MasterPiece Compact Power Control Center"/>
    <n v="845728"/>
  </r>
  <r>
    <s v="CA-2017-137043"/>
    <x v="443"/>
    <d v="2017-12-25T00:00:00"/>
    <d v="2017-12-01T00:00:00"/>
    <s v="Second Class"/>
    <s v="LC-17140"/>
    <s v="Logan Currie"/>
    <x v="0"/>
    <s v="United States"/>
    <s v="Springfield"/>
    <s v="Virginia"/>
    <n v="22153"/>
    <x v="0"/>
    <s v="FUR-FU-10003664"/>
    <x v="0"/>
    <x v="3"/>
    <s v="Electrix Architect's Clamp-On Swing Arm Lamp, Black"/>
    <n v="57276"/>
  </r>
  <r>
    <s v="CA-2016-115847"/>
    <x v="444"/>
    <d v="2016-09-24T00:00:00"/>
    <d v="2016-09-01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96"/>
  </r>
  <r>
    <s v="US-2018-126179"/>
    <x v="445"/>
    <d v="2018-07-07T00:00:00"/>
    <d v="2018-07-01T00:00:00"/>
    <s v="Standard Class"/>
    <s v="CS-12460"/>
    <s v="Chuck Sachs"/>
    <x v="0"/>
    <s v="United States"/>
    <s v="Columbus"/>
    <s v="Georgia"/>
    <n v="31907"/>
    <x v="0"/>
    <s v="FUR-FU-10002554"/>
    <x v="0"/>
    <x v="3"/>
    <s v="Westinghouse Floor Lamp with Metal Mesh Shade, Black"/>
    <n v="2399"/>
  </r>
  <r>
    <s v="US-2017-134488"/>
    <x v="446"/>
    <d v="2017-10-01T00:00:00"/>
    <d v="2017-09-01T00:00:00"/>
    <s v="Standard Class"/>
    <s v="PK-19075"/>
    <s v="Pete Kriz"/>
    <x v="0"/>
    <s v="United States"/>
    <s v="Columbus"/>
    <s v="Ohio"/>
    <n v="43229"/>
    <x v="3"/>
    <s v="FUR-CH-10003199"/>
    <x v="0"/>
    <x v="9"/>
    <s v="Office Star - Contemporary Task Swivel Chair"/>
    <n v="155372"/>
  </r>
  <r>
    <s v="CA-2018-167703"/>
    <x v="447"/>
    <d v="2018-02-08T00:00:00"/>
    <d v="2018-02-01T00:00:00"/>
    <s v="Standard Class"/>
    <s v="MC-17575"/>
    <s v="Matt Collins"/>
    <x v="0"/>
    <s v="United States"/>
    <s v="Cincinnati"/>
    <s v="Ohio"/>
    <n v="45231"/>
    <x v="3"/>
    <s v="OFF-BI-10002071"/>
    <x v="1"/>
    <x v="5"/>
    <s v="Fellowes Black Plastic Comb Bindings"/>
    <n v="5229"/>
  </r>
  <r>
    <s v="CA-2018-121804"/>
    <x v="448"/>
    <d v="2018-03-08T00:00:00"/>
    <d v="2018-03-01T00:00:00"/>
    <s v="Standard Class"/>
    <s v="LP-17095"/>
    <s v="Liz Preis"/>
    <x v="0"/>
    <s v="United States"/>
    <s v="Murray"/>
    <s v="Kentucky"/>
    <n v="42071"/>
    <x v="0"/>
    <s v="OFF-AP-10004859"/>
    <x v="1"/>
    <x v="6"/>
    <s v="Acco 6 Outlet Guardian Premium Surge Suppressor"/>
    <n v="728"/>
  </r>
  <r>
    <s v="CA-2018-162635"/>
    <x v="449"/>
    <d v="2018-10-10T00:00:00"/>
    <d v="2018-10-01T00:00:00"/>
    <s v="First Class"/>
    <s v="EB-14170"/>
    <s v="Evan Bailliet"/>
    <x v="0"/>
    <s v="United States"/>
    <s v="Wilmington"/>
    <s v="North Carolina"/>
    <n v="28403"/>
    <x v="0"/>
    <s v="OFF-PA-10002659"/>
    <x v="1"/>
    <x v="4"/>
    <s v="Avoid Verbal Orders Carbonless Minifold Book"/>
    <n v="10816"/>
  </r>
  <r>
    <s v="CA-2015-107153"/>
    <x v="450"/>
    <d v="2015-10-03T00:00:00"/>
    <d v="2015-09-01T00:00:00"/>
    <s v="Standard Class"/>
    <s v="GZ-14545"/>
    <s v="George Zrebassa"/>
    <x v="1"/>
    <s v="United States"/>
    <s v="Lawrence"/>
    <s v="Massachusetts"/>
    <n v="1841"/>
    <x v="3"/>
    <s v="OFF-ST-10001321"/>
    <x v="1"/>
    <x v="7"/>
    <s v="Decoflex Hanging Personal Folder File, Blue"/>
    <n v="4626"/>
  </r>
  <r>
    <s v="CA-2016-120439"/>
    <x v="451"/>
    <d v="2016-06-18T00:00:00"/>
    <d v="2016-06-01T00:00:00"/>
    <s v="Standard Class"/>
    <s v="AD-10180"/>
    <s v="Alan Dominguez"/>
    <x v="2"/>
    <s v="United States"/>
    <s v="Philadelphia"/>
    <s v="Pennsylvania"/>
    <n v="19120"/>
    <x v="3"/>
    <s v="FUR-FU-10001867"/>
    <x v="0"/>
    <x v="3"/>
    <s v="Eldon Expressions Punched Metal &amp; Wood Desk Accessories, Pewter &amp; Cherry"/>
    <n v="51072"/>
  </r>
  <r>
    <s v="CA-2017-128258"/>
    <x v="452"/>
    <d v="2017-04-01T00:00:00"/>
    <d v="2017-03-01T00:00:00"/>
    <s v="First Class"/>
    <s v="CP-12085"/>
    <s v="Cathy Prescott"/>
    <x v="1"/>
    <s v="United States"/>
    <s v="Norwich"/>
    <s v="Connecticut"/>
    <n v="6360"/>
    <x v="3"/>
    <s v="OFF-PA-10004156"/>
    <x v="1"/>
    <x v="4"/>
    <s v="Xerox 188"/>
    <n v="1134"/>
  </r>
  <r>
    <s v="CA-2018-106033"/>
    <x v="453"/>
    <d v="2018-10-18T00:00:00"/>
    <d v="2018-10-01T00:00:00"/>
    <s v="Second Class"/>
    <s v="FG-14260"/>
    <s v="Frank Gastineau"/>
    <x v="2"/>
    <s v="United States"/>
    <s v="San Francisco"/>
    <s v="California"/>
    <n v="94110"/>
    <x v="1"/>
    <s v="OFF-AR-10002818"/>
    <x v="1"/>
    <x v="8"/>
    <s v="Panasonic KP-310 Heavy-Duty Electric Pencil Sharpener"/>
    <n v="8792"/>
  </r>
  <r>
    <s v="CA-2017-142762"/>
    <x v="454"/>
    <d v="2017-05-27T00:00:00"/>
    <d v="2017-05-01T00:00:00"/>
    <s v="Standard Class"/>
    <s v="LD-17005"/>
    <s v="Lisa DeCherney"/>
    <x v="0"/>
    <s v="United States"/>
    <s v="San Francisco"/>
    <s v="California"/>
    <n v="94109"/>
    <x v="1"/>
    <s v="FUR-FU-10003691"/>
    <x v="0"/>
    <x v="3"/>
    <s v="Eldon Image Series Desk Accessories, Ebony"/>
    <n v="3705"/>
  </r>
  <r>
    <s v="CA-2018-127705"/>
    <x v="455"/>
    <d v="2018-06-06T00:00:00"/>
    <d v="2018-06-01T00:00:00"/>
    <s v="Standard Class"/>
    <s v="AB-10255"/>
    <s v="Alejandro Ballentine"/>
    <x v="2"/>
    <s v="United States"/>
    <s v="Lorain"/>
    <s v="Ohio"/>
    <n v="44052"/>
    <x v="3"/>
    <s v="TEC-PH-10000347"/>
    <x v="2"/>
    <x v="10"/>
    <s v="Cush Cases Heavy Duty Rugged Cover Case for Samsung Galaxy S5 - Purple"/>
    <n v="297"/>
  </r>
  <r>
    <s v="CA-2015-122567"/>
    <x v="456"/>
    <d v="2015-02-21T00:00:00"/>
    <d v="2015-02-01T00:00:00"/>
    <s v="Standard Class"/>
    <s v="MN-17935"/>
    <s v="Michael Nguyen"/>
    <x v="0"/>
    <s v="United States"/>
    <s v="Dallas"/>
    <s v="Texas"/>
    <n v="75220"/>
    <x v="2"/>
    <s v="OFF-BI-10002012"/>
    <x v="1"/>
    <x v="5"/>
    <s v="Wilson Jones Easy Flow II Sheet Lifters"/>
    <n v="108"/>
  </r>
  <r>
    <s v="CA-2015-121664"/>
    <x v="457"/>
    <d v="2015-05-10T00:00:00"/>
    <d v="2015-05-01T00:00:00"/>
    <s v="Standard Class"/>
    <s v="HP-14815"/>
    <s v="Harold Pawlan"/>
    <x v="2"/>
    <s v="United States"/>
    <s v="Los Angeles"/>
    <s v="California"/>
    <n v="90049"/>
    <x v="1"/>
    <s v="OFF-BI-10003684"/>
    <x v="1"/>
    <x v="5"/>
    <s v="Wilson Jones Legal Size Ring Binders"/>
    <n v="140736"/>
  </r>
  <r>
    <s v="CA-2017-122133"/>
    <x v="458"/>
    <d v="2017-05-23T00:00:00"/>
    <d v="2017-05-01T00:00:00"/>
    <s v="Standard Class"/>
    <s v="JR-15670"/>
    <s v="Jim Radford"/>
    <x v="0"/>
    <s v="United States"/>
    <s v="Middletown"/>
    <s v="Connecticut"/>
    <n v="6457"/>
    <x v="3"/>
    <s v="OFF-ST-10002574"/>
    <x v="1"/>
    <x v="7"/>
    <s v="SAFCO Commercial Wire Shelving, Black"/>
    <n v="55256"/>
  </r>
  <r>
    <s v="US-2018-123281"/>
    <x v="459"/>
    <d v="2018-04-07T00:00:00"/>
    <d v="2018-04-01T00:00:00"/>
    <s v="Standard Class"/>
    <s v="JF-15190"/>
    <s v="Jamie Frazer"/>
    <x v="0"/>
    <s v="United States"/>
    <s v="Los Angeles"/>
    <s v="California"/>
    <n v="90008"/>
    <x v="1"/>
    <s v="FUR-FU-10003724"/>
    <x v="0"/>
    <x v="3"/>
    <s v="Westinghouse Clip-On Gooseneck Lamps"/>
    <n v="2511"/>
  </r>
  <r>
    <s v="CA-2018-113481"/>
    <x v="460"/>
    <d v="2018-01-04T00:00:00"/>
    <d v="2018-01-01T00:00:00"/>
    <s v="First Class"/>
    <s v="AS-10045"/>
    <s v="Aaron Smayling"/>
    <x v="1"/>
    <s v="United States"/>
    <s v="Jacksonville"/>
    <s v="North Carolina"/>
    <n v="28540"/>
    <x v="0"/>
    <s v="TEC-MA-10002178"/>
    <x v="2"/>
    <x v="14"/>
    <s v="Cisco CP-7937G Unified IP Conference Station Phone"/>
    <n v="6957"/>
  </r>
  <r>
    <s v="CA-2015-118339"/>
    <x v="461"/>
    <d v="2015-03-24T00:00:00"/>
    <d v="2015-03-01T00:00:00"/>
    <s v="Standard Class"/>
    <s v="BN-11515"/>
    <s v="Bradley Nguyen"/>
    <x v="0"/>
    <s v="United States"/>
    <s v="Lakeville"/>
    <s v="Minnesota"/>
    <n v="55044"/>
    <x v="2"/>
    <s v="OFF-AP-10001154"/>
    <x v="1"/>
    <x v="6"/>
    <s v="Bionaire Personal Warm Mist Humidifier/Vaporizer"/>
    <n v="9378"/>
  </r>
  <r>
    <s v="CA-2015-153976"/>
    <x v="462"/>
    <d v="2015-10-08T00:00:00"/>
    <d v="2015-10-01T00:00:00"/>
    <s v="Second Class"/>
    <s v="BP-11290"/>
    <s v="Beth Paige"/>
    <x v="0"/>
    <s v="United States"/>
    <s v="Evanston"/>
    <s v="Illinois"/>
    <n v="60201"/>
    <x v="2"/>
    <s v="FUR-CH-10002880"/>
    <x v="0"/>
    <x v="9"/>
    <s v="Global High-Back Leather Tilter, Burgundy"/>
    <n v="258279"/>
  </r>
  <r>
    <s v="CA-2017-162901"/>
    <x v="463"/>
    <d v="2017-03-31T00:00:00"/>
    <d v="2017-03-01T00:00:00"/>
    <s v="First Class"/>
    <s v="AS-10045"/>
    <s v="Aaron Smayling"/>
    <x v="1"/>
    <s v="United States"/>
    <s v="Arlington"/>
    <s v="Virginia"/>
    <n v="22204"/>
    <x v="0"/>
    <s v="OFF-ST-10000649"/>
    <x v="1"/>
    <x v="7"/>
    <s v="Hanging Personal Folder File"/>
    <n v="314"/>
  </r>
  <r>
    <s v="CA-2018-162978"/>
    <x v="464"/>
    <d v="2018-05-09T00:00:00"/>
    <d v="2018-05-01T00:00:00"/>
    <s v="Standard Class"/>
    <s v="LW-16990"/>
    <s v="Lindsay Williams"/>
    <x v="1"/>
    <s v="United States"/>
    <s v="San Francisco"/>
    <s v="California"/>
    <n v="94109"/>
    <x v="1"/>
    <s v="TEC-PH-10003092"/>
    <x v="2"/>
    <x v="10"/>
    <s v="Motorola L804"/>
    <n v="18396"/>
  </r>
  <r>
    <s v="CA-2017-145247"/>
    <x v="465"/>
    <d v="2017-05-07T00:00:00"/>
    <d v="2017-05-01T00:00:00"/>
    <s v="First Class"/>
    <s v="ND-18370"/>
    <s v="Natalie DeCherney"/>
    <x v="0"/>
    <s v="United States"/>
    <s v="Louisville"/>
    <s v="Kentucky"/>
    <n v="40214"/>
    <x v="0"/>
    <s v="OFF-PA-10003641"/>
    <x v="1"/>
    <x v="4"/>
    <s v="Xerox 1909"/>
    <n v="7914"/>
  </r>
  <r>
    <s v="CA-2018-160045"/>
    <x v="466"/>
    <d v="2018-04-27T00:00:00"/>
    <d v="2018-04-01T00:00:00"/>
    <s v="First Class"/>
    <s v="LB-16735"/>
    <s v="Larry Blacks"/>
    <x v="0"/>
    <s v="United States"/>
    <s v="Fort Worth"/>
    <s v="Texas"/>
    <n v="76106"/>
    <x v="2"/>
    <s v="FUR-FU-10000010"/>
    <x v="0"/>
    <x v="3"/>
    <s v="DAX Value U-Channel Document Frames, Easel Back"/>
    <n v="1988"/>
  </r>
  <r>
    <s v="US-2015-151925"/>
    <x v="467"/>
    <d v="2015-10-01T00:00:00"/>
    <d v="2015-09-01T00:00:00"/>
    <s v="Second Class"/>
    <s v="KT-16465"/>
    <s v="Kean Takahito"/>
    <x v="0"/>
    <s v="United States"/>
    <s v="Los Angeles"/>
    <s v="California"/>
    <n v="90049"/>
    <x v="1"/>
    <s v="FUR-CH-10002961"/>
    <x v="0"/>
    <x v="9"/>
    <s v="Leather Task Chair, Black"/>
    <n v="145568"/>
  </r>
  <r>
    <s v="US-2018-155425"/>
    <x v="468"/>
    <d v="2018-11-11T00:00:00"/>
    <d v="2018-11-01T00:00:00"/>
    <s v="First Class"/>
    <s v="AB-10600"/>
    <s v="Ann Blume"/>
    <x v="1"/>
    <s v="United States"/>
    <s v="Tucson"/>
    <s v="Arizona"/>
    <n v="85705"/>
    <x v="1"/>
    <s v="OFF-BI-10001036"/>
    <x v="1"/>
    <x v="5"/>
    <s v="Cardinal EasyOpen D-Ring Binders"/>
    <n v="38388"/>
  </r>
  <r>
    <s v="CA-2018-136672"/>
    <x v="469"/>
    <d v="2018-03-12T00:00:00"/>
    <d v="2018-03-01T00:00:00"/>
    <s v="Standard Class"/>
    <s v="MG-17890"/>
    <s v="Michael Granlund"/>
    <x v="2"/>
    <s v="United States"/>
    <s v="Clinton"/>
    <s v="Maryland"/>
    <n v="20735"/>
    <x v="3"/>
    <s v="TEC-AC-10004510"/>
    <x v="2"/>
    <x v="12"/>
    <s v="Logitech Desktop MK120 Mouse and keyboard Combo"/>
    <n v="4908"/>
  </r>
  <r>
    <s v="US-2015-157021"/>
    <x v="470"/>
    <d v="2015-04-06T00:00:00"/>
    <d v="2015-04-01T00:00:00"/>
    <s v="Second Class"/>
    <s v="KM-16720"/>
    <s v="Kunst Miller"/>
    <x v="0"/>
    <s v="United States"/>
    <s v="Vallejo"/>
    <s v="California"/>
    <n v="94591"/>
    <x v="1"/>
    <s v="OFF-LA-10002312"/>
    <x v="1"/>
    <x v="1"/>
    <s v="Avery 490"/>
    <n v="296"/>
  </r>
  <r>
    <s v="CA-2016-120362"/>
    <x v="471"/>
    <d v="2016-09-19T00:00:00"/>
    <d v="2016-09-01T00:00:00"/>
    <s v="Standard Class"/>
    <s v="CA-12265"/>
    <s v="Christina Anderson"/>
    <x v="0"/>
    <s v="United States"/>
    <s v="Provo"/>
    <s v="Utah"/>
    <n v="84604"/>
    <x v="1"/>
    <s v="FUR-TA-10003008"/>
    <x v="0"/>
    <x v="2"/>
    <s v="Lesro Round Back Collection Coffee Table, End Table"/>
    <n v="91275"/>
  </r>
  <r>
    <s v="CA-2015-126361"/>
    <x v="472"/>
    <d v="2015-08-09T00:00:00"/>
    <d v="2015-08-01T00:00:00"/>
    <s v="Second Class"/>
    <s v="VD-21670"/>
    <s v="Valerie Dominguez"/>
    <x v="0"/>
    <s v="United States"/>
    <s v="Pleasant Grove"/>
    <s v="Utah"/>
    <n v="84062"/>
    <x v="1"/>
    <s v="OFF-AP-10003590"/>
    <x v="1"/>
    <x v="6"/>
    <s v="Hoover WindTunnel Plus Canister Vacuum"/>
    <n v="108975"/>
  </r>
  <r>
    <s v="US-2017-108504"/>
    <x v="473"/>
    <d v="2017-02-05T00:00:00"/>
    <d v="2017-02-01T00:00:00"/>
    <s v="Same Day"/>
    <s v="PP-18955"/>
    <s v="Paul Prost"/>
    <x v="2"/>
    <s v="United States"/>
    <s v="Smyrna"/>
    <s v="Georgia"/>
    <n v="30080"/>
    <x v="0"/>
    <s v="OFF-ST-10002344"/>
    <x v="1"/>
    <x v="7"/>
    <s v="Carina 42&quot;Hx23 3/4&quot;W Media Storage Unit"/>
    <n v="8098"/>
  </r>
  <r>
    <s v="CA-2017-159212"/>
    <x v="474"/>
    <d v="2017-11-05T00:00:00"/>
    <d v="2017-11-01T00:00:00"/>
    <s v="Standard Class"/>
    <s v="KM-16375"/>
    <s v="Katherine Murray"/>
    <x v="2"/>
    <s v="United States"/>
    <s v="Salem"/>
    <s v="Virginia"/>
    <n v="24153"/>
    <x v="0"/>
    <s v="TEC-PH-10003988"/>
    <x v="2"/>
    <x v="10"/>
    <s v="LF Elite 3D Dazzle Designer Hard Case Cover, Lf Stylus Pen and Wiper For Apple Iphone 5c Mini Lite"/>
    <n v="218"/>
  </r>
  <r>
    <s v="US-2017-161396"/>
    <x v="475"/>
    <d v="2017-04-25T00:00:00"/>
    <d v="2017-04-01T00:00:00"/>
    <s v="Standard Class"/>
    <s v="GM-14455"/>
    <s v="Gary Mitchum"/>
    <x v="2"/>
    <s v="United States"/>
    <s v="Columbus"/>
    <s v="Ohio"/>
    <n v="43229"/>
    <x v="3"/>
    <s v="FUR-TA-10002622"/>
    <x v="0"/>
    <x v="2"/>
    <s v="Bush Andora Conference Table, Maple/Graphite Gray Finish"/>
    <n v="205176"/>
  </r>
  <r>
    <s v="CA-2017-130407"/>
    <x v="476"/>
    <d v="2017-09-06T00:00:00"/>
    <d v="2017-09-01T00:00:00"/>
    <s v="Standard Class"/>
    <s v="KD-16270"/>
    <s v="Karen Daniels"/>
    <x v="0"/>
    <s v="United States"/>
    <s v="New York City"/>
    <s v="New York"/>
    <n v="10024"/>
    <x v="3"/>
    <s v="OFF-AR-10002240"/>
    <x v="1"/>
    <x v="8"/>
    <s v="Panasonic KP-150 Electric Pencil Sharpener"/>
    <n v="7548"/>
  </r>
  <r>
    <s v="US-2017-122245"/>
    <x v="477"/>
    <d v="2017-09-30T00:00:00"/>
    <d v="2017-09-01T00:00:00"/>
    <s v="Standard Class"/>
    <s v="AB-10105"/>
    <s v="Adrian Barton"/>
    <x v="0"/>
    <s v="United States"/>
    <s v="Phoenix"/>
    <s v="Arizona"/>
    <n v="85023"/>
    <x v="1"/>
    <s v="FUR-TA-10002356"/>
    <x v="0"/>
    <x v="2"/>
    <s v="Bevis Boat-Shaped Conference Table"/>
    <n v="393165"/>
  </r>
  <r>
    <s v="CA-2017-136329"/>
    <x v="478"/>
    <d v="2017-07-13T00:00:00"/>
    <d v="2017-07-01T00:00:00"/>
    <s v="Standard Class"/>
    <s v="JD-15895"/>
    <s v="Jonathan Doherty"/>
    <x v="1"/>
    <s v="United States"/>
    <s v="New York City"/>
    <s v="New York"/>
    <n v="10035"/>
    <x v="3"/>
    <s v="FUR-CH-10002335"/>
    <x v="0"/>
    <x v="9"/>
    <s v="Hon GuestStacker Chair"/>
    <n v="408006"/>
  </r>
  <r>
    <s v="CA-2015-146640"/>
    <x v="479"/>
    <d v="2015-07-05T00:00:00"/>
    <d v="2015-06-01T00:00:00"/>
    <s v="Standard Class"/>
    <s v="HA-14905"/>
    <s v="Helen Abelman"/>
    <x v="0"/>
    <s v="United States"/>
    <s v="New York City"/>
    <s v="New York"/>
    <n v="10024"/>
    <x v="3"/>
    <s v="OFF-BI-10002867"/>
    <x v="1"/>
    <x v="5"/>
    <s v="GBC Recycled Regency Composition Covers"/>
    <n v="334768"/>
  </r>
  <r>
    <s v="CA-2018-115994"/>
    <x v="480"/>
    <d v="2018-01-31T00:00:00"/>
    <d v="2018-01-01T00:00:00"/>
    <s v="Second Class"/>
    <s v="BT-11305"/>
    <s v="Beth Thompson"/>
    <x v="2"/>
    <s v="United States"/>
    <s v="Costa Mesa"/>
    <s v="California"/>
    <n v="92627"/>
    <x v="1"/>
    <s v="TEC-AC-10000580"/>
    <x v="2"/>
    <x v="12"/>
    <s v="Logitech G13 Programmable Gameboard with LCD Display"/>
    <n v="23997"/>
  </r>
  <r>
    <s v="CA-2016-126697"/>
    <x v="481"/>
    <d v="2016-09-24T00:00:00"/>
    <d v="2016-09-01T00:00:00"/>
    <s v="First Class"/>
    <s v="SV-20815"/>
    <s v="Stuart Van"/>
    <x v="1"/>
    <s v="United States"/>
    <s v="Houston"/>
    <s v="Texas"/>
    <n v="77041"/>
    <x v="2"/>
    <s v="TEC-PH-10002922"/>
    <x v="2"/>
    <x v="10"/>
    <s v="ShoreTel ShorePhone IP 230 VoIP phone"/>
    <n v="946344"/>
  </r>
  <r>
    <s v="US-2017-153129"/>
    <x v="482"/>
    <d v="2017-12-30T00:00:00"/>
    <d v="2017-12-01T00:00:00"/>
    <s v="Standard Class"/>
    <s v="FP-14320"/>
    <s v="Frank Preis"/>
    <x v="0"/>
    <s v="United States"/>
    <s v="Seattle"/>
    <s v="Washington"/>
    <n v="98105"/>
    <x v="1"/>
    <s v="OFF-PA-10003673"/>
    <x v="1"/>
    <x v="4"/>
    <s v="Strathmore Photo Mount Cards"/>
    <n v="339"/>
  </r>
  <r>
    <s v="CA-2018-122735"/>
    <x v="483"/>
    <d v="2018-04-15T00:00:00"/>
    <d v="2018-04-01T00:00:00"/>
    <s v="Second Class"/>
    <s v="BD-11320"/>
    <s v="Bill Donatelli"/>
    <x v="0"/>
    <s v="United States"/>
    <s v="Providence"/>
    <s v="Rhode Island"/>
    <n v="2908"/>
    <x v="3"/>
    <s v="OFF-BI-10004364"/>
    <x v="1"/>
    <x v="5"/>
    <s v="Storex Dura Pro Binders"/>
    <n v="297"/>
  </r>
  <r>
    <s v="CA-2018-128160"/>
    <x v="484"/>
    <d v="2018-12-24T00:00:00"/>
    <d v="2018-12-01T00:00:00"/>
    <s v="Second Class"/>
    <s v="MM-17920"/>
    <s v="Michael Moore"/>
    <x v="0"/>
    <s v="United States"/>
    <s v="San Francisco"/>
    <s v="California"/>
    <n v="94110"/>
    <x v="1"/>
    <s v="OFF-BI-10001510"/>
    <x v="1"/>
    <x v="5"/>
    <s v="Deluxe Heavy-Duty Vinyl Round Ring Binder"/>
    <n v="36672"/>
  </r>
  <r>
    <s v="CA-2018-117695"/>
    <x v="485"/>
    <d v="2018-08-08T00:00:00"/>
    <d v="2018-08-01T00:00:00"/>
    <s v="First Class"/>
    <s v="PW-19030"/>
    <s v="Pauline Webber"/>
    <x v="1"/>
    <s v="United States"/>
    <s v="Richmond"/>
    <s v="Kentucky"/>
    <n v="40475"/>
    <x v="0"/>
    <s v="OFF-PA-10002713"/>
    <x v="1"/>
    <x v="4"/>
    <s v="Adams Phone Message Book, 200 Message Capacity, 8 1/16” x 11”"/>
    <n v="1376"/>
  </r>
  <r>
    <s v="CA-2016-166135"/>
    <x v="486"/>
    <d v="2016-10-06T00:00:00"/>
    <d v="2016-10-01T00:00:00"/>
    <s v="Standard Class"/>
    <s v="SC-20440"/>
    <s v="Shaun Chance"/>
    <x v="1"/>
    <s v="United States"/>
    <s v="Aurora"/>
    <s v="Colorado"/>
    <n v="80013"/>
    <x v="1"/>
    <s v="OFF-ST-10002974"/>
    <x v="1"/>
    <x v="7"/>
    <s v="Trav-L-File Heavy-Duty Shuttle II, Black"/>
    <n v="139424"/>
  </r>
  <r>
    <s v="CA-2018-102337"/>
    <x v="487"/>
    <d v="2018-06-16T00:00:00"/>
    <d v="2018-06-01T00:00:00"/>
    <s v="First Class"/>
    <s v="SD-20485"/>
    <s v="Shirley Daniels"/>
    <x v="2"/>
    <s v="United States"/>
    <s v="Chicago"/>
    <s v="Illinois"/>
    <n v="60653"/>
    <x v="2"/>
    <s v="OFF-ST-10004804"/>
    <x v="1"/>
    <x v="7"/>
    <s v="Belkin 19&quot; Vented Equipment Shelf, Black"/>
    <n v="164736"/>
  </r>
  <r>
    <s v="US-2015-112564"/>
    <x v="488"/>
    <d v="2015-04-24T00:00:00"/>
    <d v="2015-04-01T00:00:00"/>
    <s v="First Class"/>
    <s v="TS-21160"/>
    <s v="Theresa Swint"/>
    <x v="1"/>
    <s v="United States"/>
    <s v="Philadelphia"/>
    <s v="Pennsylvania"/>
    <n v="19134"/>
    <x v="3"/>
    <s v="OFF-BI-10004876"/>
    <x v="1"/>
    <x v="5"/>
    <s v="Wilson Jones Suede Grain Vinyl Binders"/>
    <n v="2502"/>
  </r>
  <r>
    <s v="CA-2016-145821"/>
    <x v="489"/>
    <d v="2016-05-07T00:00:00"/>
    <d v="2016-05-01T00:00:00"/>
    <s v="Standard Class"/>
    <s v="JB-15400"/>
    <s v="Jennifer Braxton"/>
    <x v="1"/>
    <s v="United States"/>
    <s v="Los Angeles"/>
    <s v="California"/>
    <n v="90008"/>
    <x v="1"/>
    <s v="TEC-PH-10004348"/>
    <x v="2"/>
    <x v="10"/>
    <s v="OtterBox Defender Series Case - iPhone 5c"/>
    <n v="88752"/>
  </r>
  <r>
    <s v="US-2016-160150"/>
    <x v="490"/>
    <d v="2016-07-20T00:00:00"/>
    <d v="2016-07-01T00:00:00"/>
    <s v="First Class"/>
    <s v="TS-21085"/>
    <s v="Thais Sissman"/>
    <x v="0"/>
    <s v="United States"/>
    <s v="Phoenix"/>
    <s v="Arizona"/>
    <n v="85023"/>
    <x v="1"/>
    <s v="OFF-BI-10004352"/>
    <x v="1"/>
    <x v="5"/>
    <s v="Wilson Jones DublLock D-Ring Binders"/>
    <n v="2025"/>
  </r>
  <r>
    <s v="CA-2017-133711"/>
    <x v="491"/>
    <d v="2017-11-29T00:00:00"/>
    <d v="2017-11-01T00:00:00"/>
    <s v="First Class"/>
    <s v="MC-17425"/>
    <s v="Mark Cousins"/>
    <x v="1"/>
    <s v="United States"/>
    <s v="Mobile"/>
    <s v="Alabama"/>
    <n v="36608"/>
    <x v="0"/>
    <s v="OFF-PA-10001685"/>
    <x v="1"/>
    <x v="4"/>
    <s v="Easy-staple paper"/>
    <n v="7098"/>
  </r>
  <r>
    <s v="CA-2018-148474"/>
    <x v="492"/>
    <d v="2018-06-19T00:00:00"/>
    <d v="2018-06-01T00:00:00"/>
    <s v="Standard Class"/>
    <s v="ME-17320"/>
    <s v="Maria Etezadi"/>
    <x v="2"/>
    <s v="United States"/>
    <s v="Columbus"/>
    <s v="Georgia"/>
    <n v="31907"/>
    <x v="0"/>
    <s v="OFF-BI-10000977"/>
    <x v="1"/>
    <x v="5"/>
    <s v="Ibico Plastic Spiral Binding Combs"/>
    <n v="912"/>
  </r>
  <r>
    <s v="CA-2016-111297"/>
    <x v="493"/>
    <d v="2016-08-21T00:00:00"/>
    <d v="2016-08-01T00:00:00"/>
    <s v="Standard Class"/>
    <s v="SC-20440"/>
    <s v="Shaun Chance"/>
    <x v="1"/>
    <s v="United States"/>
    <s v="New Bedford"/>
    <s v="Massachusetts"/>
    <n v="2740"/>
    <x v="3"/>
    <s v="OFF-BI-10002412"/>
    <x v="1"/>
    <x v="5"/>
    <s v="Wilson Jones “Snap” Scratch Pad Binder Tool for Ring Binders"/>
    <n v="522"/>
  </r>
  <r>
    <s v="CA-2016-119907"/>
    <x v="494"/>
    <d v="2016-12-08T00:00:00"/>
    <d v="2016-12-01T00:00:00"/>
    <s v="Standard Class"/>
    <s v="LC-17140"/>
    <s v="Logan Currie"/>
    <x v="0"/>
    <s v="United States"/>
    <s v="Seattle"/>
    <s v="Washington"/>
    <n v="98103"/>
    <x v="1"/>
    <s v="OFF-BI-10001765"/>
    <x v="1"/>
    <x v="5"/>
    <s v="Wilson Jones Heavy-Duty Casebound Ring Binders with Metal Hinges"/>
    <n v="55424"/>
  </r>
  <r>
    <s v="CA-2016-100769"/>
    <x v="495"/>
    <d v="2016-05-16T00:00:00"/>
    <d v="2016-05-01T00:00:00"/>
    <s v="Same Day"/>
    <s v="TH-21550"/>
    <s v="Tracy Hopkins"/>
    <x v="2"/>
    <s v="United States"/>
    <s v="Jacksonville"/>
    <s v="Florida"/>
    <n v="32216"/>
    <x v="0"/>
    <s v="TEC-AC-10002402"/>
    <x v="2"/>
    <x v="12"/>
    <s v="Razer Kraken PRO Over Ear PC and Music Headset"/>
    <n v="255968"/>
  </r>
  <r>
    <s v="US-2016-161466"/>
    <x v="496"/>
    <d v="2016-09-27T00:00:00"/>
    <d v="2016-09-01T00:00:00"/>
    <s v="Second Class"/>
    <s v="ON-18715"/>
    <s v="Odella Nelson"/>
    <x v="1"/>
    <s v="United States"/>
    <s v="Philadelphia"/>
    <s v="Pennsylvania"/>
    <n v="19120"/>
    <x v="3"/>
    <s v="OFF-AR-10000634"/>
    <x v="1"/>
    <x v="8"/>
    <s v="Newell 320"/>
    <n v="6848"/>
  </r>
  <r>
    <s v="CA-2018-164959"/>
    <x v="497"/>
    <d v="2018-07-15T00:00:00"/>
    <d v="2018-07-01T00:00:00"/>
    <s v="Standard Class"/>
    <s v="KN-16390"/>
    <s v="Katherine Nockton"/>
    <x v="1"/>
    <s v="United States"/>
    <s v="Los Angeles"/>
    <s v="California"/>
    <n v="90004"/>
    <x v="1"/>
    <s v="OFF-LA-10004272"/>
    <x v="1"/>
    <x v="1"/>
    <s v="Avery 482"/>
    <n v="867"/>
  </r>
  <r>
    <s v="US-2018-104955"/>
    <x v="498"/>
    <d v="2018-03-24T00:00:00"/>
    <d v="2018-03-01T00:00:00"/>
    <s v="Standard Class"/>
    <s v="CG-12040"/>
    <s v="Catherine Glotzbach"/>
    <x v="2"/>
    <s v="United States"/>
    <s v="New York City"/>
    <s v="New York"/>
    <n v="10024"/>
    <x v="3"/>
    <s v="OFF-LA-10003121"/>
    <x v="1"/>
    <x v="1"/>
    <s v="Avery 506"/>
    <n v="2891"/>
  </r>
  <r>
    <s v="US-2017-108455"/>
    <x v="499"/>
    <d v="2017-12-08T00:00:00"/>
    <d v="2017-12-01T00:00:00"/>
    <s v="Standard Class"/>
    <s v="MK-18160"/>
    <s v="Mike Kennedy"/>
    <x v="0"/>
    <s v="United States"/>
    <s v="San Francisco"/>
    <s v="California"/>
    <n v="94122"/>
    <x v="1"/>
    <s v="OFF-PA-10002262"/>
    <x v="1"/>
    <x v="4"/>
    <s v="Xerox 192"/>
    <n v="2592"/>
  </r>
  <r>
    <s v="US-2017-108098"/>
    <x v="500"/>
    <d v="2017-10-18T00:00:00"/>
    <d v="2017-10-01T00:00:00"/>
    <s v="Standard Class"/>
    <s v="CP-12340"/>
    <s v="Christine Phan"/>
    <x v="1"/>
    <s v="United States"/>
    <s v="Seattle"/>
    <s v="Washington"/>
    <n v="98115"/>
    <x v="1"/>
    <s v="TEC-AC-10000865"/>
    <x v="2"/>
    <x v="12"/>
    <s v="WD My Passport Ultra 500GB Portable External Hard Drive"/>
    <n v="177"/>
  </r>
  <r>
    <s v="CA-2015-119032"/>
    <x v="501"/>
    <d v="2015-12-03T00:00:00"/>
    <d v="2015-11-01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76"/>
  </r>
  <r>
    <s v="CA-2016-140410"/>
    <x v="502"/>
    <d v="2016-11-07T00:00:00"/>
    <d v="2016-11-01T00:00:00"/>
    <s v="Standard Class"/>
    <s v="CM-12655"/>
    <s v="Corinna Mitchell"/>
    <x v="2"/>
    <s v="United States"/>
    <s v="Los Angeles"/>
    <s v="California"/>
    <n v="90008"/>
    <x v="1"/>
    <s v="TEC-PH-10003580"/>
    <x v="2"/>
    <x v="10"/>
    <s v="Cisco IP Phone 7961G-GE VoIP phone"/>
    <n v="1212848"/>
  </r>
  <r>
    <s v="CA-2015-136280"/>
    <x v="503"/>
    <d v="2015-12-06T00:00:00"/>
    <d v="2015-11-01T00:00:00"/>
    <s v="Standard Class"/>
    <s v="Co-12640"/>
    <s v="Corey-Lock"/>
    <x v="0"/>
    <s v="United States"/>
    <s v="Philadelphia"/>
    <s v="Pennsylvania"/>
    <n v="19143"/>
    <x v="3"/>
    <s v="OFF-LA-10000452"/>
    <x v="1"/>
    <x v="1"/>
    <s v="Avery 488"/>
    <n v="504"/>
  </r>
  <r>
    <s v="CA-2018-151911"/>
    <x v="504"/>
    <d v="2018-05-05T00:00:00"/>
    <d v="2018-04-01T00:00:00"/>
    <s v="Second Class"/>
    <s v="DL-13495"/>
    <s v="Dionis Lloyd"/>
    <x v="1"/>
    <s v="United States"/>
    <s v="New York City"/>
    <s v="New York"/>
    <n v="10024"/>
    <x v="3"/>
    <s v="OFF-EN-10002986"/>
    <x v="1"/>
    <x v="11"/>
    <s v="#10-4 1/8&quot; x 9 1/2&quot; Premium Diagonal Seam Envelopes"/>
    <n v="6296"/>
  </r>
  <r>
    <s v="CA-2018-139661"/>
    <x v="505"/>
    <d v="2018-11-03T00:00:00"/>
    <d v="2018-10-01T00:00:00"/>
    <s v="Standard Class"/>
    <s v="JW-15220"/>
    <s v="Jane Waco"/>
    <x v="1"/>
    <s v="United States"/>
    <s v="Vancouver"/>
    <s v="Washington"/>
    <n v="98661"/>
    <x v="1"/>
    <s v="FUR-FU-10002885"/>
    <x v="0"/>
    <x v="3"/>
    <s v="Magna Visual Magnetic Picture Hangers"/>
    <n v="964"/>
  </r>
  <r>
    <s v="CA-2015-123925"/>
    <x v="506"/>
    <d v="2015-12-19T00:00:00"/>
    <d v="2015-12-01T00:00:00"/>
    <s v="Second Class"/>
    <s v="RF-19840"/>
    <s v="Roy Französisch"/>
    <x v="0"/>
    <s v="United States"/>
    <s v="Columbus"/>
    <s v="Georgia"/>
    <n v="31907"/>
    <x v="0"/>
    <s v="OFF-AR-10002952"/>
    <x v="1"/>
    <x v="8"/>
    <s v="Stanley Contemporary Battery Pencil Sharpeners"/>
    <n v="4005"/>
  </r>
  <r>
    <s v="CA-2018-152485"/>
    <x v="507"/>
    <d v="2018-09-08T00:00:00"/>
    <d v="2018-09-01T00:00:00"/>
    <s v="Standard Class"/>
    <s v="JD-15790"/>
    <s v="John Dryer"/>
    <x v="0"/>
    <s v="United States"/>
    <s v="Coppell"/>
    <s v="Texas"/>
    <n v="75019"/>
    <x v="2"/>
    <s v="OFF-AR-10003759"/>
    <x v="1"/>
    <x v="8"/>
    <s v="Crayola Anti Dust Chalk, 12/Pack"/>
    <n v="10192"/>
  </r>
  <r>
    <s v="CA-2017-141586"/>
    <x v="508"/>
    <d v="2017-10-20T00:00:00"/>
    <d v="2017-10-01T00:00:00"/>
    <s v="First Class"/>
    <s v="NK-18490"/>
    <s v="Neil Knudson"/>
    <x v="2"/>
    <s v="United States"/>
    <s v="San Francisco"/>
    <s v="California"/>
    <n v="94122"/>
    <x v="1"/>
    <s v="OFF-BI-10003981"/>
    <x v="1"/>
    <x v="5"/>
    <s v="Avery Durable Plastic 1&quot; Binders"/>
    <n v="1816"/>
  </r>
  <r>
    <s v="CA-2016-153388"/>
    <x v="509"/>
    <d v="2016-08-07T00:00:00"/>
    <d v="2016-08-01T00:00:00"/>
    <s v="Standard Class"/>
    <s v="PC-19000"/>
    <s v="Pauline Chand"/>
    <x v="2"/>
    <s v="United States"/>
    <s v="Los Angeles"/>
    <s v="California"/>
    <n v="90004"/>
    <x v="1"/>
    <s v="OFF-AR-10001868"/>
    <x v="1"/>
    <x v="8"/>
    <s v="Prang Dustless Chalk Sticks"/>
    <n v="672"/>
  </r>
  <r>
    <s v="CA-2018-103611"/>
    <x v="510"/>
    <d v="2018-09-15T00:00:00"/>
    <d v="2018-09-01T00:00:00"/>
    <s v="First Class"/>
    <s v="JM-15535"/>
    <s v="Jessica Myrick"/>
    <x v="0"/>
    <s v="United States"/>
    <s v="Los Angeles"/>
    <s v="California"/>
    <n v="90036"/>
    <x v="1"/>
    <s v="FUR-FU-10004270"/>
    <x v="0"/>
    <x v="3"/>
    <s v="Eldon Image Series Desk Accessories, Burgundy"/>
    <n v="836"/>
  </r>
  <r>
    <s v="CA-2015-111059"/>
    <x v="511"/>
    <d v="2015-02-06T00:00:00"/>
    <d v="2015-02-01T00:00:00"/>
    <s v="Second Class"/>
    <s v="TB-21400"/>
    <s v="Tom Boeckenhauer"/>
    <x v="0"/>
    <s v="United States"/>
    <s v="Seattle"/>
    <s v="Washington"/>
    <n v="98105"/>
    <x v="1"/>
    <s v="OFF-BI-10004593"/>
    <x v="1"/>
    <x v="5"/>
    <s v="Ibico Laser Imprintable Binding System Covers"/>
    <n v="8384"/>
  </r>
  <r>
    <s v="CA-2018-116204"/>
    <x v="512"/>
    <d v="2018-02-14T00:00:00"/>
    <d v="2018-02-01T00:00:00"/>
    <s v="Second Class"/>
    <s v="VW-21775"/>
    <s v="Victoria Wilson"/>
    <x v="1"/>
    <s v="United States"/>
    <s v="San Francisco"/>
    <s v="California"/>
    <n v="94110"/>
    <x v="1"/>
    <s v="OFF-BI-10001759"/>
    <x v="1"/>
    <x v="5"/>
    <s v="Acco Pressboard Covers with Storage Hooks, 14 7/8&quot; x 11&quot;, Dark Blue"/>
    <n v="21336"/>
  </r>
  <r>
    <s v="CA-2018-109946"/>
    <x v="513"/>
    <d v="2018-04-21T00:00:00"/>
    <d v="2018-04-01T00:00:00"/>
    <s v="Standard Class"/>
    <s v="PL-18925"/>
    <s v="Paul Lucas"/>
    <x v="2"/>
    <s v="United States"/>
    <s v="Chicago"/>
    <s v="Illinois"/>
    <n v="60610"/>
    <x v="2"/>
    <s v="OFF-AR-10001419"/>
    <x v="1"/>
    <x v="8"/>
    <s v="Newell 325"/>
    <n v="1652"/>
  </r>
  <r>
    <s v="CA-2016-103793"/>
    <x v="514"/>
    <d v="2016-03-31T00:00:00"/>
    <d v="2016-03-01T00:00:00"/>
    <s v="Standard Class"/>
    <s v="BV-11245"/>
    <s v="Benjamin Venier"/>
    <x v="1"/>
    <s v="United States"/>
    <s v="Miami"/>
    <s v="Florida"/>
    <n v="33142"/>
    <x v="0"/>
    <s v="OFF-PA-10001125"/>
    <x v="1"/>
    <x v="4"/>
    <s v="Xerox 1988"/>
    <n v="74352"/>
  </r>
  <r>
    <s v="CA-2018-159884"/>
    <x v="515"/>
    <d v="2018-09-05T00:00:00"/>
    <d v="2018-08-01T00:00:00"/>
    <s v="Standard Class"/>
    <s v="JF-15490"/>
    <s v="Jeremy Farry"/>
    <x v="0"/>
    <s v="United States"/>
    <s v="Tempe"/>
    <s v="Arizona"/>
    <n v="85281"/>
    <x v="1"/>
    <s v="OFF-ST-10000344"/>
    <x v="1"/>
    <x v="7"/>
    <s v="Neat Ideas Personal Hanging Folder Files, Black"/>
    <n v="10744"/>
  </r>
  <r>
    <s v="CA-2018-124086"/>
    <x v="516"/>
    <d v="2018-02-14T00:00:00"/>
    <d v="2018-02-01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983"/>
  </r>
  <r>
    <s v="CA-2017-112389"/>
    <x v="517"/>
    <d v="2017-11-02T00:00:00"/>
    <d v="2017-10-01T00:00:00"/>
    <s v="Standard Class"/>
    <s v="JM-15655"/>
    <s v="Jim Mitchum"/>
    <x v="1"/>
    <s v="United States"/>
    <s v="Bridgeton"/>
    <s v="New Jersey"/>
    <n v="8302"/>
    <x v="3"/>
    <s v="OFF-ST-10000419"/>
    <x v="1"/>
    <x v="7"/>
    <s v="Rogers Jumbo File, Granite"/>
    <n v="4074"/>
  </r>
  <r>
    <s v="CA-2015-166884"/>
    <x v="518"/>
    <d v="2015-03-16T00:00:00"/>
    <d v="2015-03-01T00:00:00"/>
    <s v="Second Class"/>
    <s v="CK-12205"/>
    <s v="Chloris Kastensmidt"/>
    <x v="0"/>
    <s v="United States"/>
    <s v="Columbus"/>
    <s v="Ohio"/>
    <n v="43229"/>
    <x v="3"/>
    <s v="FUR-FU-10003981"/>
    <x v="0"/>
    <x v="3"/>
    <s v="Eldon Wave Desk Accessories"/>
    <n v="832"/>
  </r>
  <r>
    <s v="CA-2015-107181"/>
    <x v="519"/>
    <d v="2015-02-08T00:00:00"/>
    <d v="2015-02-01T00:00:00"/>
    <s v="Standard Class"/>
    <s v="DB-13270"/>
    <s v="Deborah Brumfield"/>
    <x v="2"/>
    <s v="United States"/>
    <s v="San Diego"/>
    <s v="California"/>
    <n v="92024"/>
    <x v="1"/>
    <s v="OFF-BI-10004230"/>
    <x v="1"/>
    <x v="5"/>
    <s v="GBC Recycled Grain Textured Covers"/>
    <n v="82896"/>
  </r>
  <r>
    <s v="CA-2015-150245"/>
    <x v="520"/>
    <d v="2016-01-04T00:00:00"/>
    <d v="2015-12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488"/>
  </r>
  <r>
    <s v="CA-2016-111395"/>
    <x v="521"/>
    <d v="2016-11-27T00:00:00"/>
    <d v="2016-11-01T00:00:00"/>
    <s v="Standard Class"/>
    <s v="VB-21745"/>
    <s v="Victoria Brennan"/>
    <x v="1"/>
    <s v="United States"/>
    <s v="San Antonio"/>
    <s v="Texas"/>
    <n v="78207"/>
    <x v="2"/>
    <s v="OFF-PA-10000994"/>
    <x v="1"/>
    <x v="4"/>
    <s v="Xerox 1915"/>
    <n v="33552"/>
  </r>
  <r>
    <s v="CA-2015-134278"/>
    <x v="522"/>
    <d v="2015-07-08T00:00:00"/>
    <d v="2015-07-01T00:00:00"/>
    <s v="First Class"/>
    <s v="EP-13915"/>
    <s v="Emily Phan"/>
    <x v="0"/>
    <s v="United States"/>
    <s v="New York City"/>
    <s v="New York"/>
    <n v="10011"/>
    <x v="3"/>
    <s v="TEC-CO-10001046"/>
    <x v="2"/>
    <x v="15"/>
    <s v="Canon Imageclass D680 Copier / Fax"/>
    <n v="559992"/>
  </r>
  <r>
    <s v="CA-2015-130274"/>
    <x v="523"/>
    <d v="2015-05-05T00:00:00"/>
    <d v="2015-05-01T00:00:00"/>
    <s v="First Class"/>
    <s v="JS-15940"/>
    <s v="Joni Sundaresam"/>
    <x v="2"/>
    <s v="United States"/>
    <s v="Appleton"/>
    <s v="Wisconsin"/>
    <n v="54915"/>
    <x v="2"/>
    <s v="OFF-LA-10002195"/>
    <x v="1"/>
    <x v="1"/>
    <s v="Avery 481"/>
    <n v="2156"/>
  </r>
  <r>
    <s v="CA-2018-158386"/>
    <x v="524"/>
    <d v="2018-10-21T00:00:00"/>
    <d v="2018-10-01T00:00:00"/>
    <s v="Standard Class"/>
    <s v="BO-11425"/>
    <s v="Bobby Odegard"/>
    <x v="0"/>
    <s v="United States"/>
    <s v="Richmond"/>
    <s v="Kentucky"/>
    <n v="40475"/>
    <x v="0"/>
    <s v="OFF-BI-10003719"/>
    <x v="1"/>
    <x v="5"/>
    <s v="Large Capacity Hanging Post Binders"/>
    <n v="12475"/>
  </r>
  <r>
    <s v="CA-2016-111507"/>
    <x v="525"/>
    <d v="2016-02-13T00:00:00"/>
    <d v="2016-02-01T00:00:00"/>
    <s v="Standard Class"/>
    <s v="VW-21775"/>
    <s v="Victoria Wilson"/>
    <x v="1"/>
    <s v="United States"/>
    <s v="Bellevue"/>
    <s v="Washington"/>
    <n v="98006"/>
    <x v="1"/>
    <s v="OFF-AR-10001315"/>
    <x v="1"/>
    <x v="8"/>
    <s v="Newell 310"/>
    <n v="528"/>
  </r>
  <r>
    <s v="CA-2017-126809"/>
    <x v="526"/>
    <d v="2017-04-13T00:00:00"/>
    <d v="2017-04-01T00:00:00"/>
    <s v="Standard Class"/>
    <s v="EB-13750"/>
    <s v="Edward Becker"/>
    <x v="1"/>
    <s v="United States"/>
    <s v="Seattle"/>
    <s v="Washington"/>
    <n v="98103"/>
    <x v="1"/>
    <s v="OFF-BI-10003712"/>
    <x v="1"/>
    <x v="5"/>
    <s v="Acco Pressboard Covers with Storage Hooks, 14 7/8&quot; x 11&quot;, Light Blue"/>
    <n v="35352"/>
  </r>
  <r>
    <s v="CA-2015-105172"/>
    <x v="527"/>
    <d v="2015-04-09T00:00:00"/>
    <d v="2015-04-01T00:00:00"/>
    <s v="Standard Class"/>
    <s v="PK-18910"/>
    <s v="Paul Knutson"/>
    <x v="2"/>
    <s v="United States"/>
    <s v="San Francisco"/>
    <s v="California"/>
    <n v="94109"/>
    <x v="1"/>
    <s v="OFF-LA-10001641"/>
    <x v="1"/>
    <x v="1"/>
    <s v="Avery 518"/>
    <n v="189"/>
  </r>
  <r>
    <s v="CA-2018-107293"/>
    <x v="528"/>
    <d v="2018-09-06T00:00:00"/>
    <d v="2018-09-01T00:00:00"/>
    <s v="First Class"/>
    <s v="CS-12400"/>
    <s v="Christopher Schild"/>
    <x v="2"/>
    <s v="United States"/>
    <s v="Seattle"/>
    <s v="Washington"/>
    <n v="98115"/>
    <x v="1"/>
    <s v="OFF-AR-10003732"/>
    <x v="1"/>
    <x v="8"/>
    <s v="Newell 333"/>
    <n v="278"/>
  </r>
  <r>
    <s v="CA-2016-158554"/>
    <x v="529"/>
    <d v="2016-11-09T00:00:00"/>
    <d v="2016-11-01T00:00:00"/>
    <s v="Same Day"/>
    <s v="CM-12190"/>
    <s v="Charlotte Melton"/>
    <x v="0"/>
    <s v="United States"/>
    <s v="Philadelphia"/>
    <s v="Pennsylvania"/>
    <n v="19134"/>
    <x v="3"/>
    <s v="OFF-PA-10004000"/>
    <x v="1"/>
    <x v="4"/>
    <s v="While You Were Out Pads, 50 per Pad, 4 x 5 1/4, Green Cycle"/>
    <n v="11352"/>
  </r>
  <r>
    <s v="CA-2015-116239"/>
    <x v="530"/>
    <d v="2015-03-04T00:00:00"/>
    <d v="2015-03-01T00:00:00"/>
    <s v="Same Day"/>
    <s v="CL-12565"/>
    <s v="Clay Ludtke"/>
    <x v="0"/>
    <s v="United States"/>
    <s v="Columbia"/>
    <s v="South Carolina"/>
    <n v="29203"/>
    <x v="0"/>
    <s v="OFF-ST-10001370"/>
    <x v="1"/>
    <x v="7"/>
    <s v="Sensible Storage WireTech Storage Systems"/>
    <n v="3549"/>
  </r>
  <r>
    <s v="CA-2016-132101"/>
    <x v="531"/>
    <d v="2016-03-25T00:00:00"/>
    <d v="2016-03-01T00:00:00"/>
    <s v="Standard Class"/>
    <s v="JO-15550"/>
    <s v="Jesus Ocampo"/>
    <x v="2"/>
    <s v="United States"/>
    <s v="Seattle"/>
    <s v="Washington"/>
    <n v="98105"/>
    <x v="1"/>
    <s v="TEC-PH-10004539"/>
    <x v="2"/>
    <x v="10"/>
    <s v="Wireless Extenders zBoost YX545 SOHO Signal Booster"/>
    <n v="453576"/>
  </r>
  <r>
    <s v="US-2018-152002"/>
    <x v="532"/>
    <d v="2018-06-11T00:00:00"/>
    <d v="2018-06-01T00:00:00"/>
    <s v="Same Day"/>
    <s v="DV-13465"/>
    <s v="Dianna Vittorini"/>
    <x v="0"/>
    <s v="United States"/>
    <s v="Los Angeles"/>
    <s v="California"/>
    <n v="90004"/>
    <x v="1"/>
    <s v="OFF-PA-10000357"/>
    <x v="1"/>
    <x v="4"/>
    <s v="White Dual Perf Computer Printout Paper, 2700 Sheets, 1 Part, Heavyweight, 20 lbs., 14 7/8 x 11"/>
    <n v="12297"/>
  </r>
  <r>
    <s v="US-2015-157385"/>
    <x v="533"/>
    <d v="2015-11-25T00:00:00"/>
    <d v="2015-11-01T00:00:00"/>
    <s v="First Class"/>
    <s v="SC-20095"/>
    <s v="Sanjit Chand"/>
    <x v="0"/>
    <s v="United States"/>
    <s v="Los Angeles"/>
    <s v="California"/>
    <n v="90004"/>
    <x v="1"/>
    <s v="FUR-CH-10000863"/>
    <x v="0"/>
    <x v="9"/>
    <s v="Novimex Swivel Fabric Task Chair"/>
    <n v="60392"/>
  </r>
  <r>
    <s v="CA-2015-101602"/>
    <x v="534"/>
    <d v="2015-12-18T00:00:00"/>
    <d v="2015-12-01T00:00:00"/>
    <s v="First Class"/>
    <s v="MC-18100"/>
    <s v="Mick Crebagga"/>
    <x v="0"/>
    <s v="United States"/>
    <s v="El Paso"/>
    <s v="Texas"/>
    <n v="79907"/>
    <x v="2"/>
    <s v="TEC-PH-10000169"/>
    <x v="2"/>
    <x v="10"/>
    <s v="ARKON Windshield Dashboard Air Vent Car Mount Holder"/>
    <n v="4068"/>
  </r>
  <r>
    <s v="CA-2017-102456"/>
    <x v="535"/>
    <d v="2017-03-01T00:00:00"/>
    <d v="2017-02-01T00:00:00"/>
    <s v="First Class"/>
    <s v="DL-12865"/>
    <s v="Dan Lawera"/>
    <x v="0"/>
    <s v="United States"/>
    <s v="New York City"/>
    <s v="New York"/>
    <n v="10011"/>
    <x v="3"/>
    <s v="OFF-AP-10004336"/>
    <x v="1"/>
    <x v="6"/>
    <s v="Conquest 14 Commercial Heavy-Duty Upright Vacuum, Collection System, Accessory Kit"/>
    <n v="17088"/>
  </r>
  <r>
    <s v="CA-2017-109911"/>
    <x v="536"/>
    <d v="2017-05-16T00:00:00"/>
    <d v="2017-05-01T00:00:00"/>
    <s v="Standard Class"/>
    <s v="VG-21805"/>
    <s v="Vivek Grady"/>
    <x v="1"/>
    <s v="United States"/>
    <s v="Virginia Beach"/>
    <s v="Virginia"/>
    <n v="23464"/>
    <x v="0"/>
    <s v="OFF-AR-10001662"/>
    <x v="1"/>
    <x v="8"/>
    <s v="Rogers Handheld Barrel Pencil Sharpener"/>
    <n v="1096"/>
  </r>
  <r>
    <s v="CA-2016-122826"/>
    <x v="537"/>
    <d v="2016-06-25T00:00:00"/>
    <d v="2016-06-01T00:00:00"/>
    <s v="Second Class"/>
    <s v="RD-19480"/>
    <s v="Rick Duston"/>
    <x v="0"/>
    <s v="United States"/>
    <s v="Olympia"/>
    <s v="Washington"/>
    <n v="98502"/>
    <x v="1"/>
    <s v="TEC-PH-10004830"/>
    <x v="2"/>
    <x v="10"/>
    <s v="Pyle PRT45 Retro Home Telephone"/>
    <n v="201568"/>
  </r>
  <r>
    <s v="CA-2015-117317"/>
    <x v="538"/>
    <d v="2015-10-19T00:00:00"/>
    <d v="2015-10-01T00:00:00"/>
    <s v="Same Day"/>
    <s v="JF-15490"/>
    <s v="Jeremy Farry"/>
    <x v="0"/>
    <s v="United States"/>
    <s v="Los Angeles"/>
    <s v="California"/>
    <n v="90032"/>
    <x v="1"/>
    <s v="OFF-PA-10004519"/>
    <x v="1"/>
    <x v="4"/>
    <s v="Spiral Phone Message Books with Labels by Adams"/>
    <n v="1344"/>
  </r>
  <r>
    <s v="CA-2016-118423"/>
    <x v="539"/>
    <d v="2016-03-27T00:00:00"/>
    <d v="2016-03-01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058"/>
  </r>
  <r>
    <s v="CA-2018-149181"/>
    <x v="540"/>
    <d v="2018-05-12T00:00:00"/>
    <d v="2018-05-01T00:00:00"/>
    <s v="Standard Class"/>
    <s v="MD-17350"/>
    <s v="Maribeth Dona"/>
    <x v="0"/>
    <s v="United States"/>
    <s v="Columbus"/>
    <s v="Ohio"/>
    <n v="43229"/>
    <x v="3"/>
    <s v="FUR-CH-10004540"/>
    <x v="0"/>
    <x v="9"/>
    <s v="Global Chrome Stack Chair"/>
    <n v="47992"/>
  </r>
  <r>
    <s v="CA-2017-164672"/>
    <x v="541"/>
    <d v="2017-05-13T00:00:00"/>
    <d v="2017-05-01T00:00:00"/>
    <s v="Second Class"/>
    <s v="GB-14530"/>
    <s v="George Bell"/>
    <x v="1"/>
    <s v="United States"/>
    <s v="Dover"/>
    <s v="Delaware"/>
    <n v="19901"/>
    <x v="3"/>
    <s v="FUR-FU-10001488"/>
    <x v="0"/>
    <x v="3"/>
    <s v="Tenex 46&quot; x 60&quot; Computer Anti-Static Chairmat, Rectangular Shaped"/>
    <n v="21196"/>
  </r>
  <r>
    <s v="CA-2015-156349"/>
    <x v="542"/>
    <d v="2015-05-30T00:00:00"/>
    <d v="2015-05-01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666"/>
  </r>
  <r>
    <s v="US-2017-113509"/>
    <x v="543"/>
    <d v="2017-03-19T00:00:00"/>
    <d v="2017-03-01T00:00:00"/>
    <s v="Standard Class"/>
    <s v="PL-18925"/>
    <s v="Paul Lucas"/>
    <x v="2"/>
    <s v="United States"/>
    <s v="Philadelphia"/>
    <s v="Pennsylvania"/>
    <n v="19143"/>
    <x v="3"/>
    <s v="TEC-AC-10004855"/>
    <x v="2"/>
    <x v="12"/>
    <s v="V7 USB Numeric Keypad"/>
    <n v="83976"/>
  </r>
  <r>
    <s v="CA-2016-130022"/>
    <x v="544"/>
    <d v="2016-08-16T00:00:00"/>
    <d v="2016-08-01T00:00:00"/>
    <s v="Standard Class"/>
    <s v="JK-16120"/>
    <s v="Julie Kriz"/>
    <x v="2"/>
    <s v="United States"/>
    <s v="Eagan"/>
    <s v="Minnesota"/>
    <n v="55122"/>
    <x v="2"/>
    <s v="OFF-LA-10002787"/>
    <x v="1"/>
    <x v="1"/>
    <s v="Avery 480"/>
    <n v="375"/>
  </r>
  <r>
    <s v="US-2017-118780"/>
    <x v="545"/>
    <d v="2017-09-14T00:00:00"/>
    <d v="2017-09-01T00:00:00"/>
    <s v="Second Class"/>
    <s v="PN-18775"/>
    <s v="Parhena Norris"/>
    <x v="2"/>
    <s v="United States"/>
    <s v="New York City"/>
    <s v="New York"/>
    <n v="10011"/>
    <x v="3"/>
    <s v="OFF-ST-10000352"/>
    <x v="1"/>
    <x v="7"/>
    <s v="Acco Perma 2700 Stacking Storage Drawers"/>
    <n v="5948"/>
  </r>
  <r>
    <s v="CA-2016-157084"/>
    <x v="546"/>
    <d v="2016-12-24T00:00:00"/>
    <d v="2016-12-01T00:00:00"/>
    <s v="Standard Class"/>
    <s v="JG-15160"/>
    <s v="James Galang"/>
    <x v="0"/>
    <s v="United States"/>
    <s v="Los Angeles"/>
    <s v="California"/>
    <n v="90049"/>
    <x v="1"/>
    <s v="TEC-PH-10002922"/>
    <x v="2"/>
    <x v="10"/>
    <s v="ShoreTel ShorePhone IP 230 VoIP phone"/>
    <n v="67596"/>
  </r>
  <r>
    <s v="CA-2016-164539"/>
    <x v="547"/>
    <d v="2016-11-22T00:00:00"/>
    <d v="2016-11-01T00:00:00"/>
    <s v="Standard Class"/>
    <s v="PO-19180"/>
    <s v="Philisse Overcash"/>
    <x v="2"/>
    <s v="United States"/>
    <s v="New York City"/>
    <s v="New York"/>
    <n v="10011"/>
    <x v="3"/>
    <s v="OFF-AP-10002457"/>
    <x v="1"/>
    <x v="6"/>
    <s v="Eureka The Boss Plus 12-Amp Hard Box Upright Vacuum, Red"/>
    <n v="52325"/>
  </r>
  <r>
    <s v="CA-2018-101049"/>
    <x v="548"/>
    <d v="2018-06-25T00:00:00"/>
    <d v="2018-06-01T00:00:00"/>
    <s v="Second Class"/>
    <s v="AS-10240"/>
    <s v="Alan Shonely"/>
    <x v="0"/>
    <s v="United States"/>
    <s v="Cleveland"/>
    <s v="Ohio"/>
    <n v="44105"/>
    <x v="3"/>
    <s v="FUR-FU-10004415"/>
    <x v="0"/>
    <x v="3"/>
    <s v="Stacking Tray, Side-Loading, Legal, Smoke"/>
    <n v="1792"/>
  </r>
  <r>
    <s v="CA-2016-105221"/>
    <x v="549"/>
    <d v="2016-11-03T00:00:00"/>
    <d v="2016-11-01T00:00:00"/>
    <s v="First Class"/>
    <s v="VM-21685"/>
    <s v="Valerie Mitchum"/>
    <x v="2"/>
    <s v="United States"/>
    <s v="Philadelphia"/>
    <s v="Pennsylvania"/>
    <n v="19140"/>
    <x v="3"/>
    <s v="TEC-AC-10002323"/>
    <x v="2"/>
    <x v="12"/>
    <s v="SanDisk Ultra 32 GB MicroSDHC Class 10 Memory Card"/>
    <n v="3536"/>
  </r>
  <r>
    <s v="CA-2015-135699"/>
    <x v="550"/>
    <d v="2015-08-29T00:00:00"/>
    <d v="2015-08-01T00:00:00"/>
    <s v="Same Day"/>
    <s v="HH-15010"/>
    <s v="Hilary Holden"/>
    <x v="1"/>
    <s v="United States"/>
    <s v="San Francisco"/>
    <s v="California"/>
    <n v="94110"/>
    <x v="1"/>
    <s v="OFF-PA-10004475"/>
    <x v="1"/>
    <x v="4"/>
    <s v="Xerox 1940"/>
    <n v="10992"/>
  </r>
  <r>
    <s v="US-2018-132444"/>
    <x v="551"/>
    <d v="2018-11-21T00:00:00"/>
    <d v="2018-11-01T00:00:00"/>
    <s v="First Class"/>
    <s v="CD-12280"/>
    <s v="Christina DeMoss"/>
    <x v="0"/>
    <s v="United States"/>
    <s v="Seattle"/>
    <s v="Washington"/>
    <n v="98105"/>
    <x v="1"/>
    <s v="OFF-ST-10003442"/>
    <x v="1"/>
    <x v="7"/>
    <s v="Eldon Portable Mobile Manager"/>
    <n v="16968"/>
  </r>
  <r>
    <s v="CA-2015-127159"/>
    <x v="552"/>
    <d v="2015-05-15T00:00:00"/>
    <d v="2015-05-01T00:00:00"/>
    <s v="First Class"/>
    <s v="HL-15040"/>
    <s v="Hunter Lopez"/>
    <x v="0"/>
    <s v="United States"/>
    <s v="Milwaukee"/>
    <s v="Wisconsin"/>
    <n v="53209"/>
    <x v="2"/>
    <s v="FUR-FU-10000010"/>
    <x v="0"/>
    <x v="3"/>
    <s v="DAX Value U-Channel Document Frames, Easel Back"/>
    <n v="3479"/>
  </r>
  <r>
    <s v="US-2016-157154"/>
    <x v="553"/>
    <d v="2016-01-15T00:00:00"/>
    <d v="2016-01-01T00:00:00"/>
    <s v="Standard Class"/>
    <s v="MM-17920"/>
    <s v="Michael Moore"/>
    <x v="0"/>
    <s v="United States"/>
    <s v="New York City"/>
    <s v="New York"/>
    <n v="10011"/>
    <x v="3"/>
    <s v="FUR-TA-10001889"/>
    <x v="0"/>
    <x v="2"/>
    <s v="Bush Advantage Collection Racetrack Conference Table"/>
    <n v="1018104"/>
  </r>
  <r>
    <s v="CA-2017-107615"/>
    <x v="554"/>
    <d v="2017-03-25T00:00:00"/>
    <d v="2017-03-01T00:00:00"/>
    <s v="First Class"/>
    <s v="RB-19645"/>
    <s v="Robert Barroso"/>
    <x v="1"/>
    <s v="United States"/>
    <s v="North Las Vegas"/>
    <s v="Nevada"/>
    <n v="89031"/>
    <x v="1"/>
    <s v="TEC-AC-10001013"/>
    <x v="2"/>
    <x v="12"/>
    <s v="Logitech ClearChat Comfort/USB Headset H390"/>
    <n v="5858"/>
  </r>
  <r>
    <s v="CA-2016-150560"/>
    <x v="555"/>
    <d v="2016-12-12T00:00:00"/>
    <d v="2016-12-01T00:00:00"/>
    <s v="First Class"/>
    <s v="SW-20455"/>
    <s v="Shaun Weien"/>
    <x v="0"/>
    <s v="United States"/>
    <s v="Suffolk"/>
    <s v="Virginia"/>
    <n v="23434"/>
    <x v="0"/>
    <s v="OFF-LA-10003930"/>
    <x v="1"/>
    <x v="1"/>
    <s v="Dot Matrix Printer Tape Reel Labels, White, 5000/Box"/>
    <n v="19662"/>
  </r>
  <r>
    <s v="CA-2017-122728"/>
    <x v="556"/>
    <d v="2017-05-24T00:00:00"/>
    <d v="2017-05-01T00:00:00"/>
    <s v="Standard Class"/>
    <s v="EB-13930"/>
    <s v="Eric Barreto"/>
    <x v="0"/>
    <s v="United States"/>
    <s v="San Francisco"/>
    <s v="California"/>
    <n v="94110"/>
    <x v="1"/>
    <s v="OFF-ST-10000604"/>
    <x v="1"/>
    <x v="7"/>
    <s v="Home/Office Personal File Carts"/>
    <n v="10428"/>
  </r>
  <r>
    <s v="CA-2015-122882"/>
    <x v="557"/>
    <d v="2015-09-13T00:00:00"/>
    <d v="2015-09-01T00:00:00"/>
    <s v="Standard Class"/>
    <s v="SB-20290"/>
    <s v="Sean Braxton"/>
    <x v="1"/>
    <s v="United States"/>
    <s v="Philadelphia"/>
    <s v="Pennsylvania"/>
    <n v="19134"/>
    <x v="3"/>
    <s v="OFF-ST-10002344"/>
    <x v="1"/>
    <x v="7"/>
    <s v="Carina 42&quot;Hx23 3/4&quot;W Media Storage Unit"/>
    <n v="64784"/>
  </r>
  <r>
    <s v="CA-2018-149489"/>
    <x v="558"/>
    <d v="2018-04-27T00:00:00"/>
    <d v="2018-04-01T00:00:00"/>
    <s v="First Class"/>
    <s v="DK-12835"/>
    <s v="Damala Kotsonis"/>
    <x v="1"/>
    <s v="United States"/>
    <s v="Philadelphia"/>
    <s v="Pennsylvania"/>
    <n v="19143"/>
    <x v="3"/>
    <s v="OFF-AP-10002495"/>
    <x v="1"/>
    <x v="6"/>
    <s v="Acco Smartsocket Table Surge Protector, 6 Color-Coded Adapter Outlets"/>
    <n v="9928"/>
  </r>
  <r>
    <s v="CA-2015-142839"/>
    <x v="559"/>
    <d v="2015-08-20T00:00:00"/>
    <d v="2015-08-01T00:00:00"/>
    <s v="Standard Class"/>
    <s v="TS-21610"/>
    <s v="Troy Staebel"/>
    <x v="0"/>
    <s v="United States"/>
    <s v="Philadelphia"/>
    <s v="Pennsylvania"/>
    <n v="19143"/>
    <x v="3"/>
    <s v="FUR-TA-10001539"/>
    <x v="0"/>
    <x v="2"/>
    <s v="Chromcraft Rectangular Conference Tables"/>
    <n v="853092"/>
  </r>
  <r>
    <s v="US-2017-154361"/>
    <x v="560"/>
    <d v="2017-03-19T00:00:00"/>
    <d v="2017-03-01T00:00:00"/>
    <s v="Standard Class"/>
    <s v="HZ-14950"/>
    <s v="Henia Zydlo"/>
    <x v="0"/>
    <s v="United States"/>
    <s v="Columbus"/>
    <s v="Ohio"/>
    <n v="43229"/>
    <x v="3"/>
    <s v="FUR-FU-10004020"/>
    <x v="0"/>
    <x v="3"/>
    <s v="Advantus Panel Wall Acrylic Frame"/>
    <n v="2188"/>
  </r>
  <r>
    <s v="CA-2015-135657"/>
    <x v="561"/>
    <d v="2015-06-07T00:00:00"/>
    <d v="2015-06-01T00:00:00"/>
    <s v="Second Class"/>
    <s v="SC-20725"/>
    <s v="Steven Cartwright"/>
    <x v="0"/>
    <s v="United States"/>
    <s v="Seattle"/>
    <s v="Washington"/>
    <n v="98115"/>
    <x v="1"/>
    <s v="FUR-TA-10004086"/>
    <x v="0"/>
    <x v="2"/>
    <s v="KI Adjustable-Height Table"/>
    <n v="51588"/>
  </r>
  <r>
    <s v="CA-2016-114069"/>
    <x v="562"/>
    <d v="2016-07-15T00:00:00"/>
    <d v="2016-07-01T00:00:00"/>
    <s v="Second Class"/>
    <s v="ND-18370"/>
    <s v="Natalie DeCherney"/>
    <x v="0"/>
    <s v="United States"/>
    <s v="New York City"/>
    <s v="New York"/>
    <n v="10035"/>
    <x v="3"/>
    <s v="OFF-BI-10000320"/>
    <x v="1"/>
    <x v="5"/>
    <s v="GBC Plastic Binding Combs"/>
    <n v="11808"/>
  </r>
  <r>
    <s v="CA-2015-139857"/>
    <x v="563"/>
    <d v="2015-02-06T00:00:00"/>
    <d v="2015-02-01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35"/>
  </r>
  <r>
    <s v="CA-2016-145401"/>
    <x v="564"/>
    <d v="2016-02-04T00:00:00"/>
    <d v="2016-01-01T00:00:00"/>
    <s v="Standard Class"/>
    <s v="JP-15520"/>
    <s v="Jeremy Pistek"/>
    <x v="0"/>
    <s v="United States"/>
    <s v="Houston"/>
    <s v="Texas"/>
    <n v="77070"/>
    <x v="2"/>
    <s v="OFF-PA-10004405"/>
    <x v="1"/>
    <x v="4"/>
    <s v="Rediform Voice Mail Log Books"/>
    <n v="14304"/>
  </r>
  <r>
    <s v="US-2018-124968"/>
    <x v="565"/>
    <d v="2018-09-13T00:00:00"/>
    <d v="2018-09-01T00:00:00"/>
    <s v="Second Class"/>
    <s v="MM-18055"/>
    <s v="Michelle Moray"/>
    <x v="0"/>
    <s v="United States"/>
    <s v="Chicago"/>
    <s v="Illinois"/>
    <n v="60610"/>
    <x v="2"/>
    <s v="FUR-TA-10004289"/>
    <x v="0"/>
    <x v="2"/>
    <s v="BoxOffice By Design Rectangular and Half-Moon Meeting Room Tables"/>
    <n v="765625"/>
  </r>
  <r>
    <s v="CA-2018-104003"/>
    <x v="566"/>
    <d v="2018-10-13T00:00:00"/>
    <d v="2018-10-01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666"/>
  </r>
  <r>
    <s v="CA-2017-154788"/>
    <x v="567"/>
    <d v="2017-05-04T00:00:00"/>
    <d v="2017-04-01T00:00:00"/>
    <s v="Standard Class"/>
    <s v="JL-15835"/>
    <s v="John Lee"/>
    <x v="0"/>
    <s v="United States"/>
    <s v="New York City"/>
    <s v="New York"/>
    <n v="10011"/>
    <x v="3"/>
    <s v="OFF-BI-10003314"/>
    <x v="1"/>
    <x v="5"/>
    <s v="Tuff Stuff Recycled Round Ring Binders"/>
    <n v="7712"/>
  </r>
  <r>
    <s v="US-2018-164056"/>
    <x v="568"/>
    <d v="2018-05-04T00:00:00"/>
    <d v="2018-04-01T00:00:00"/>
    <s v="Second Class"/>
    <s v="FM-14215"/>
    <s v="Filia McAdams"/>
    <x v="1"/>
    <s v="United States"/>
    <s v="Dublin"/>
    <s v="Ohio"/>
    <n v="43017"/>
    <x v="3"/>
    <s v="FUR-TA-10001307"/>
    <x v="0"/>
    <x v="2"/>
    <s v="SAFCO PlanMaster Heigh-Adjustable Drafting Table Base, 43w x 30d x 30-37h, Black"/>
    <n v="104835"/>
  </r>
  <r>
    <s v="CA-2017-106894"/>
    <x v="569"/>
    <d v="2017-02-07T00:00:00"/>
    <d v="2017-02-01T00:00:00"/>
    <s v="Same Day"/>
    <s v="CA-12265"/>
    <s v="Christina Anderson"/>
    <x v="0"/>
    <s v="United States"/>
    <s v="Springfield"/>
    <s v="Virginia"/>
    <n v="22153"/>
    <x v="0"/>
    <s v="TEC-AC-10003063"/>
    <x v="2"/>
    <x v="12"/>
    <s v="Micro Innovations USB RF Wireless Keyboard with Mouse"/>
    <n v="100"/>
  </r>
  <r>
    <s v="CA-2018-101483"/>
    <x v="570"/>
    <d v="2018-08-01T00:00:00"/>
    <d v="2018-07-01T00:00:00"/>
    <s v="Second Class"/>
    <s v="AG-10675"/>
    <s v="Anna Gayman"/>
    <x v="0"/>
    <s v="United States"/>
    <s v="Jacksonville"/>
    <s v="North Carolina"/>
    <n v="28540"/>
    <x v="0"/>
    <s v="OFF-AP-10002082"/>
    <x v="1"/>
    <x v="6"/>
    <s v="Holmes HEPA Air Purifier"/>
    <n v="34848"/>
  </r>
  <r>
    <s v="CA-2015-133270"/>
    <x v="571"/>
    <d v="2015-06-09T00:00:00"/>
    <d v="2015-06-01T00:00:00"/>
    <s v="First Class"/>
    <s v="BM-11785"/>
    <s v="Bryan Mills"/>
    <x v="0"/>
    <s v="United States"/>
    <s v="Rochester"/>
    <s v="New York"/>
    <n v="14609"/>
    <x v="3"/>
    <s v="OFF-AR-10002656"/>
    <x v="1"/>
    <x v="8"/>
    <s v="Sanford Liquid Accent Highlighters"/>
    <n v="1336"/>
  </r>
  <r>
    <s v="CA-2017-155670"/>
    <x v="572"/>
    <d v="2017-08-17T00:00:00"/>
    <d v="2017-08-01T00:00:00"/>
    <s v="Second Class"/>
    <s v="EM-14065"/>
    <s v="Erin Mull"/>
    <x v="0"/>
    <s v="United States"/>
    <s v="Jacksonville"/>
    <s v="North Carolina"/>
    <n v="28540"/>
    <x v="0"/>
    <s v="OFF-BI-10000138"/>
    <x v="1"/>
    <x v="5"/>
    <s v="Acco Translucent Poly Ring Binders"/>
    <n v="11232"/>
  </r>
  <r>
    <s v="US-2015-157406"/>
    <x v="573"/>
    <d v="2015-04-29T00:00:00"/>
    <d v="2015-04-01T00:00:00"/>
    <s v="Standard Class"/>
    <s v="DA-13450"/>
    <s v="Dianna Arnett"/>
    <x v="2"/>
    <s v="United States"/>
    <s v="Houston"/>
    <s v="Texas"/>
    <n v="77095"/>
    <x v="2"/>
    <s v="OFF-PA-10003543"/>
    <x v="1"/>
    <x v="4"/>
    <s v="Xerox 1985"/>
    <n v="10368"/>
  </r>
  <r>
    <s v="CA-2018-116715"/>
    <x v="574"/>
    <d v="2018-12-05T00:00:00"/>
    <d v="2018-12-01T00:00:00"/>
    <s v="First Class"/>
    <s v="VW-21775"/>
    <s v="Victoria Wilson"/>
    <x v="1"/>
    <s v="United States"/>
    <s v="San Francisco"/>
    <s v="California"/>
    <n v="94122"/>
    <x v="1"/>
    <s v="OFF-ST-10004340"/>
    <x v="1"/>
    <x v="7"/>
    <s v="Fellowes Mobile File Cart, Black"/>
    <n v="55962"/>
  </r>
  <r>
    <s v="CA-2016-135622"/>
    <x v="575"/>
    <d v="2016-12-11T00:00:00"/>
    <d v="2016-12-01T00:00:00"/>
    <s v="Second Class"/>
    <s v="TT-21460"/>
    <s v="Tonja Turnell"/>
    <x v="2"/>
    <s v="United States"/>
    <s v="Fort Worth"/>
    <s v="Texas"/>
    <n v="76106"/>
    <x v="2"/>
    <s v="OFF-PA-10000100"/>
    <x v="1"/>
    <x v="4"/>
    <s v="Xerox 1945"/>
    <n v="360712"/>
  </r>
  <r>
    <s v="CA-2015-141817"/>
    <x v="576"/>
    <d v="2015-01-12T00:00:00"/>
    <d v="2015-01-01T00:00:00"/>
    <s v="Standard Class"/>
    <s v="MB-18085"/>
    <s v="Mick Brown"/>
    <x v="0"/>
    <s v="United States"/>
    <s v="Philadelphia"/>
    <s v="Pennsylvania"/>
    <n v="19143"/>
    <x v="3"/>
    <s v="OFF-AR-10003478"/>
    <x v="1"/>
    <x v="8"/>
    <s v="Avery Hi-Liter EverBold Pen Style Fluorescent Highlighters, 4/Pack"/>
    <n v="19536"/>
  </r>
  <r>
    <s v="CA-2016-130785"/>
    <x v="577"/>
    <d v="2016-09-09T00:00:00"/>
    <d v="2016-09-01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332"/>
  </r>
  <r>
    <s v="CA-2017-110254"/>
    <x v="578"/>
    <d v="2017-08-08T00:00:00"/>
    <d v="2017-08-01T00:00:00"/>
    <s v="Standard Class"/>
    <s v="ML-17755"/>
    <s v="Max Ludwig"/>
    <x v="2"/>
    <s v="United States"/>
    <s v="Suffolk"/>
    <s v="Virginia"/>
    <n v="23434"/>
    <x v="0"/>
    <s v="OFF-SU-10002573"/>
    <x v="1"/>
    <x v="16"/>
    <s v="Acme 10&quot; Easy Grip Assistive Scissors"/>
    <n v="3506"/>
  </r>
  <r>
    <s v="US-2015-158057"/>
    <x v="579"/>
    <d v="2015-03-26T00:00:00"/>
    <d v="2015-03-01T00:00:00"/>
    <s v="Standard Class"/>
    <s v="CC-12685"/>
    <s v="Craig Carroll"/>
    <x v="0"/>
    <s v="United States"/>
    <s v="Greensboro"/>
    <s v="North Carolina"/>
    <n v="27405"/>
    <x v="0"/>
    <s v="OFF-BI-10004410"/>
    <x v="1"/>
    <x v="5"/>
    <s v="C-Line Peel &amp; Stick Add-On Filing Pockets, 8-3/4 x 5-1/8, 10/Pack"/>
    <n v="7644"/>
  </r>
  <r>
    <s v="CA-2018-146024"/>
    <x v="580"/>
    <d v="2018-03-08T00:00:00"/>
    <d v="2018-03-01T00:00:00"/>
    <s v="Standard Class"/>
    <s v="SC-20770"/>
    <s v="Stewart Carmichael"/>
    <x v="1"/>
    <s v="United States"/>
    <s v="Dallas"/>
    <s v="Texas"/>
    <n v="75081"/>
    <x v="2"/>
    <s v="OFF-SU-10001935"/>
    <x v="1"/>
    <x v="16"/>
    <s v="Staple remover"/>
    <n v="6976"/>
  </r>
  <r>
    <s v="CA-2017-129686"/>
    <x v="581"/>
    <d v="2017-11-29T00:00:00"/>
    <d v="2017-11-01T00:00:00"/>
    <s v="Second Class"/>
    <s v="GG-14650"/>
    <s v="Greg Guthrie"/>
    <x v="1"/>
    <s v="United States"/>
    <s v="Chicago"/>
    <s v="Illinois"/>
    <n v="60623"/>
    <x v="2"/>
    <s v="OFF-ST-10004337"/>
    <x v="1"/>
    <x v="7"/>
    <s v="SAFCO Commercial Wire Shelving, 72h"/>
    <n v="97984"/>
  </r>
  <r>
    <s v="CA-2015-118976"/>
    <x v="582"/>
    <d v="2015-05-03T00:00:00"/>
    <d v="2015-04-01T00:00:00"/>
    <s v="Standard Class"/>
    <s v="MY-18295"/>
    <s v="Muhammed Yedwab"/>
    <x v="1"/>
    <s v="United States"/>
    <s v="Baltimore"/>
    <s v="Maryland"/>
    <n v="21215"/>
    <x v="3"/>
    <s v="OFF-BI-10001628"/>
    <x v="1"/>
    <x v="5"/>
    <s v="Acco Data Flex Cable Posts For Top &amp; Bottom Load Binders, 6&quot; Capacity"/>
    <n v="2086"/>
  </r>
  <r>
    <s v="CA-2017-124667"/>
    <x v="583"/>
    <d v="2017-11-16T00:00:00"/>
    <d v="2017-11-01T00:00:00"/>
    <s v="Standard Class"/>
    <s v="BD-11770"/>
    <s v="Bryan Davis"/>
    <x v="0"/>
    <s v="United States"/>
    <s v="New York City"/>
    <s v="New York"/>
    <n v="10011"/>
    <x v="3"/>
    <s v="TEC-AC-10003447"/>
    <x v="2"/>
    <x v="12"/>
    <s v="Micropad Numeric Keypads"/>
    <n v="5997"/>
  </r>
  <r>
    <s v="CA-2016-111094"/>
    <x v="584"/>
    <d v="2016-07-13T00:00:00"/>
    <d v="2016-07-01T00:00:00"/>
    <s v="Standard Class"/>
    <s v="CB-12535"/>
    <s v="Claudia Bergmann"/>
    <x v="1"/>
    <s v="United States"/>
    <s v="Franklin"/>
    <s v="Massachusetts"/>
    <n v="2038"/>
    <x v="3"/>
    <s v="OFF-PA-10001609"/>
    <x v="1"/>
    <x v="4"/>
    <s v="Tops Wirebound Message Log Books"/>
    <n v="658"/>
  </r>
  <r>
    <s v="CA-2018-166317"/>
    <x v="585"/>
    <d v="2018-09-26T00:00:00"/>
    <d v="2018-09-01T00:00:00"/>
    <s v="Standard Class"/>
    <s v="JE-15610"/>
    <s v="Jim Epp"/>
    <x v="1"/>
    <s v="United States"/>
    <s v="Milwaukee"/>
    <s v="Wisconsin"/>
    <n v="53209"/>
    <x v="2"/>
    <s v="OFF-PA-10004475"/>
    <x v="1"/>
    <x v="4"/>
    <s v="Xerox 1940"/>
    <n v="21984"/>
  </r>
  <r>
    <s v="CA-2016-154326"/>
    <x v="586"/>
    <d v="2016-02-19T00:00:00"/>
    <d v="2016-02-01T00:00:00"/>
    <s v="Standard Class"/>
    <s v="RP-19855"/>
    <s v="Roy Phan"/>
    <x v="1"/>
    <s v="United States"/>
    <s v="Kenosha"/>
    <s v="Wisconsin"/>
    <n v="53142"/>
    <x v="2"/>
    <s v="TEC-PH-10001819"/>
    <x v="2"/>
    <x v="10"/>
    <s v="Innergie mMini Combo Duo USB Travel Charging Kit"/>
    <n v="13497"/>
  </r>
  <r>
    <s v="CA-2015-102008"/>
    <x v="587"/>
    <d v="2015-10-04T00:00:00"/>
    <d v="2015-09-01T00:00:00"/>
    <s v="Standard Class"/>
    <s v="RA-19915"/>
    <s v="Russell Applegate"/>
    <x v="0"/>
    <s v="United States"/>
    <s v="New York City"/>
    <s v="New York"/>
    <n v="10011"/>
    <x v="3"/>
    <s v="OFF-PA-10004092"/>
    <x v="1"/>
    <x v="4"/>
    <s v="Tops Green Bar Computer Printout Paper"/>
    <n v="4894"/>
  </r>
  <r>
    <s v="CA-2015-120474"/>
    <x v="588"/>
    <d v="2015-12-03T00:00:00"/>
    <d v="2015-12-01T00:00:00"/>
    <s v="First Class"/>
    <s v="RP-19390"/>
    <s v="Resi Pölking"/>
    <x v="0"/>
    <s v="United States"/>
    <s v="Madison"/>
    <s v="Wisconsin"/>
    <n v="53711"/>
    <x v="2"/>
    <s v="FUR-CH-10001854"/>
    <x v="0"/>
    <x v="9"/>
    <s v="Office Star - Professional Matrix Back Chair with 2-to-1 Synchro Tilt and Mesh Fabric Seat"/>
    <n v="280784"/>
  </r>
  <r>
    <s v="CA-2015-104773"/>
    <x v="589"/>
    <d v="2015-12-13T00:00:00"/>
    <d v="2015-12-01T00:00:00"/>
    <s v="Standard Class"/>
    <s v="TB-21175"/>
    <s v="Thomas Boland"/>
    <x v="1"/>
    <s v="United States"/>
    <s v="Houston"/>
    <s v="Texas"/>
    <n v="77041"/>
    <x v="2"/>
    <s v="OFF-ST-10000777"/>
    <x v="1"/>
    <x v="7"/>
    <s v="Companion Letter/Legal File, Black"/>
    <n v="60416"/>
  </r>
  <r>
    <s v="CA-2017-121034"/>
    <x v="590"/>
    <d v="2017-08-10T00:00:00"/>
    <d v="2017-08-01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168"/>
  </r>
  <r>
    <s v="US-2017-116729"/>
    <x v="591"/>
    <d v="2017-12-28T00:00:00"/>
    <d v="2017-12-01T00:00:00"/>
    <s v="First Class"/>
    <s v="GK-14620"/>
    <s v="Grace Kelly"/>
    <x v="1"/>
    <s v="United States"/>
    <s v="Los Angeles"/>
    <s v="California"/>
    <n v="90049"/>
    <x v="1"/>
    <s v="TEC-PH-10002200"/>
    <x v="2"/>
    <x v="10"/>
    <s v="Samsung Galaxy Note 2"/>
    <n v="2575944"/>
  </r>
  <r>
    <s v="CA-2017-164938"/>
    <x v="592"/>
    <d v="2017-02-13T00:00:00"/>
    <d v="2017-02-01T00:00:00"/>
    <s v="First Class"/>
    <s v="PB-19210"/>
    <s v="Phillip Breyer"/>
    <x v="1"/>
    <s v="United States"/>
    <s v="Tulsa"/>
    <s v="Oklahoma"/>
    <n v="74133"/>
    <x v="2"/>
    <s v="TEC-PH-10004897"/>
    <x v="2"/>
    <x v="10"/>
    <s v="Mediabridge Sport Armband iPhone 5s"/>
    <n v="6993"/>
  </r>
  <r>
    <s v="CA-2016-164833"/>
    <x v="593"/>
    <d v="2016-06-04T00:00:00"/>
    <d v="2016-06-01T00:00:00"/>
    <s v="Same Day"/>
    <s v="LL-16840"/>
    <s v="Lauren Leatherbury"/>
    <x v="0"/>
    <s v="United States"/>
    <s v="Seattle"/>
    <s v="Washington"/>
    <n v="98105"/>
    <x v="1"/>
    <s v="OFF-LA-10000443"/>
    <x v="1"/>
    <x v="1"/>
    <s v="Avery 501"/>
    <n v="738"/>
  </r>
  <r>
    <s v="US-2015-130379"/>
    <x v="594"/>
    <d v="2015-05-29T00:00:00"/>
    <d v="2015-05-01T00:00:00"/>
    <s v="Standard Class"/>
    <s v="JL-15235"/>
    <s v="Janet Lee"/>
    <x v="0"/>
    <s v="United States"/>
    <s v="Chicago"/>
    <s v="Illinois"/>
    <n v="60623"/>
    <x v="2"/>
    <s v="OFF-AP-10001394"/>
    <x v="1"/>
    <x v="6"/>
    <s v="Harmony Air Purifier"/>
    <n v="756"/>
  </r>
  <r>
    <s v="CA-2017-168956"/>
    <x v="595"/>
    <d v="2017-02-20T00:00:00"/>
    <d v="2017-02-01T00:00:00"/>
    <s v="Standard Class"/>
    <s v="EA-14035"/>
    <s v="Erin Ashbrook"/>
    <x v="1"/>
    <s v="United States"/>
    <s v="Chicago"/>
    <s v="Illinois"/>
    <n v="60623"/>
    <x v="2"/>
    <s v="OFF-AP-10004233"/>
    <x v="1"/>
    <x v="6"/>
    <s v="Honeywell Enviracaire Portable Air Cleaner for up to 8 x 10 Room"/>
    <n v="92064"/>
  </r>
  <r>
    <s v="CA-2017-167507"/>
    <x v="596"/>
    <d v="2017-12-28T00:00:00"/>
    <d v="2017-12-01T00:00:00"/>
    <s v="Standard Class"/>
    <s v="SA-20830"/>
    <s v="Sue Ann Reed"/>
    <x v="0"/>
    <s v="United States"/>
    <s v="Redmond"/>
    <s v="Oregon"/>
    <n v="97756"/>
    <x v="1"/>
    <s v="OFF-BI-10003694"/>
    <x v="1"/>
    <x v="5"/>
    <s v="Avery 3 1/2&quot; Diskette Storage Pages, 10/Pack"/>
    <n v="3132"/>
  </r>
  <r>
    <s v="CA-2017-109344"/>
    <x v="597"/>
    <d v="2017-02-11T00:00:00"/>
    <d v="2017-02-01T00:00:00"/>
    <s v="Second Class"/>
    <s v="CH-12070"/>
    <s v="Cathy Hwang"/>
    <x v="2"/>
    <s v="United States"/>
    <s v="Raleigh"/>
    <s v="North Carolina"/>
    <n v="27604"/>
    <x v="0"/>
    <s v="TEC-PH-10002624"/>
    <x v="2"/>
    <x v="10"/>
    <s v="Samsung Galaxy S4 Mini"/>
    <n v="1127976"/>
  </r>
  <r>
    <s v="CA-2015-103373"/>
    <x v="598"/>
    <d v="2015-05-24T00:00:00"/>
    <d v="2015-05-01T00:00:00"/>
    <s v="Standard Class"/>
    <s v="BS-11755"/>
    <s v="Bruce Stewart"/>
    <x v="0"/>
    <s v="United States"/>
    <s v="Cleveland"/>
    <s v="Ohio"/>
    <n v="44105"/>
    <x v="3"/>
    <s v="TEC-PH-10002885"/>
    <x v="2"/>
    <x v="10"/>
    <s v="Apple iPhone 5"/>
    <n v="779796"/>
  </r>
  <r>
    <s v="CA-2016-131422"/>
    <x v="599"/>
    <d v="2016-11-09T00:00:00"/>
    <d v="2016-11-01T00:00:00"/>
    <s v="Standard Class"/>
    <s v="GB-14530"/>
    <s v="George Bell"/>
    <x v="1"/>
    <s v="United States"/>
    <s v="Monroe"/>
    <s v="North Carolina"/>
    <n v="28110"/>
    <x v="0"/>
    <s v="FUR-CH-10001270"/>
    <x v="0"/>
    <x v="9"/>
    <s v="Harbour Creations Steel Folding Chair"/>
    <n v="207"/>
  </r>
  <r>
    <s v="CA-2018-122693"/>
    <x v="600"/>
    <d v="2018-02-21T00:00:00"/>
    <d v="2018-02-01T00:00:00"/>
    <s v="Second Class"/>
    <s v="NH-18610"/>
    <s v="Nicole Hansen"/>
    <x v="1"/>
    <s v="United States"/>
    <s v="Roswell"/>
    <s v="Georgia"/>
    <n v="30076"/>
    <x v="0"/>
    <s v="OFF-AP-10002518"/>
    <x v="1"/>
    <x v="6"/>
    <s v="Kensington 7 Outlet MasterPiece Power Center"/>
    <n v="124586"/>
  </r>
  <r>
    <s v="CA-2015-117345"/>
    <x v="601"/>
    <d v="2015-08-05T00:00:00"/>
    <d v="2015-08-01T00:00:00"/>
    <s v="Standard Class"/>
    <s v="BF-10975"/>
    <s v="Barbara Fisher"/>
    <x v="1"/>
    <s v="United States"/>
    <s v="Charlotte"/>
    <s v="North Carolina"/>
    <n v="28205"/>
    <x v="0"/>
    <s v="OFF-LA-10000240"/>
    <x v="1"/>
    <x v="1"/>
    <s v="Self-Adhesive Address Labels for Typewriters by Universal"/>
    <n v="17544"/>
  </r>
  <r>
    <s v="US-2018-158512"/>
    <x v="602"/>
    <d v="2018-01-17T00:00:00"/>
    <d v="2018-01-01T00:00:00"/>
    <s v="Second Class"/>
    <s v="DA-13450"/>
    <s v="Dianna Arnett"/>
    <x v="2"/>
    <s v="United States"/>
    <s v="Washington"/>
    <s v="District of Columbia"/>
    <n v="20016"/>
    <x v="3"/>
    <s v="OFF-PA-10001804"/>
    <x v="1"/>
    <x v="4"/>
    <s v="Xerox 195"/>
    <n v="4008"/>
  </r>
  <r>
    <s v="CA-2016-160472"/>
    <x v="603"/>
    <d v="2016-07-25T00:00:00"/>
    <d v="2016-07-01T00:00:00"/>
    <s v="Second Class"/>
    <s v="RK-19300"/>
    <s v="Ralph Kennedy"/>
    <x v="0"/>
    <s v="United States"/>
    <s v="South Bend"/>
    <s v="Indiana"/>
    <n v="46614"/>
    <x v="2"/>
    <s v="OFF-ST-10000464"/>
    <x v="1"/>
    <x v="7"/>
    <s v="Multi-Use Personal File Cart and Caster Set, Three Stacking Bins"/>
    <n v="3476"/>
  </r>
  <r>
    <s v="CA-2015-114643"/>
    <x v="604"/>
    <d v="2015-06-17T00:00:00"/>
    <d v="2015-06-01T00:00:00"/>
    <s v="Standard Class"/>
    <s v="FM-14215"/>
    <s v="Filia McAdams"/>
    <x v="1"/>
    <s v="United States"/>
    <s v="Los Angeles"/>
    <s v="California"/>
    <n v="90032"/>
    <x v="1"/>
    <s v="OFF-AR-10003631"/>
    <x v="1"/>
    <x v="8"/>
    <s v="Staples in misc. colors"/>
    <n v="1452"/>
  </r>
  <r>
    <s v="US-2018-158218"/>
    <x v="605"/>
    <d v="2018-05-15T00:00:00"/>
    <d v="2018-05-01T00:00:00"/>
    <s v="Second Class"/>
    <s v="AC-10420"/>
    <s v="Alyssa Crouse"/>
    <x v="1"/>
    <s v="United States"/>
    <s v="Houston"/>
    <s v="Texas"/>
    <n v="77041"/>
    <x v="2"/>
    <s v="OFF-ST-10000563"/>
    <x v="1"/>
    <x v="7"/>
    <s v="Fellowes Bankers Box Stor/Drawer Steel Plus"/>
    <n v="12792"/>
  </r>
  <r>
    <s v="US-2018-121251"/>
    <x v="606"/>
    <d v="2018-03-27T00:00:00"/>
    <d v="2018-03-01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568"/>
  </r>
  <r>
    <s v="CA-2015-151078"/>
    <x v="607"/>
    <d v="2015-11-12T00:00:00"/>
    <d v="2015-11-01T00:00:00"/>
    <s v="Same Day"/>
    <s v="RF-19840"/>
    <s v="Roy Französisch"/>
    <x v="0"/>
    <s v="United States"/>
    <s v="San Antonio"/>
    <s v="Texas"/>
    <n v="78207"/>
    <x v="2"/>
    <s v="OFF-ST-10001328"/>
    <x v="1"/>
    <x v="7"/>
    <s v="Personal Filing Tote with Lid, Black/Gray"/>
    <n v="49632"/>
  </r>
  <r>
    <s v="CA-2016-127110"/>
    <x v="608"/>
    <d v="2016-07-01T00:00:00"/>
    <d v="2016-06-01T00:00:00"/>
    <s v="Standard Class"/>
    <s v="CH-12070"/>
    <s v="Cathy Hwang"/>
    <x v="2"/>
    <s v="United States"/>
    <s v="Philadelphia"/>
    <s v="Pennsylvania"/>
    <n v="19143"/>
    <x v="3"/>
    <s v="OFF-PA-10003309"/>
    <x v="1"/>
    <x v="4"/>
    <s v="Xerox 211"/>
    <n v="31104"/>
  </r>
  <r>
    <s v="CA-2015-116932"/>
    <x v="609"/>
    <d v="2015-07-25T00:00:00"/>
    <d v="2015-07-01T00:00:00"/>
    <s v="Standard Class"/>
    <s v="ME-18010"/>
    <s v="Michelle Ellison"/>
    <x v="1"/>
    <s v="United States"/>
    <s v="San Francisco"/>
    <s v="California"/>
    <n v="94122"/>
    <x v="1"/>
    <s v="OFF-AR-10002067"/>
    <x v="1"/>
    <x v="8"/>
    <s v="Newell 334"/>
    <n v="992"/>
  </r>
  <r>
    <s v="CA-2018-142888"/>
    <x v="610"/>
    <d v="2018-11-25T00:00:00"/>
    <d v="2018-11-01T00:00:00"/>
    <s v="Standard Class"/>
    <s v="BP-11230"/>
    <s v="Benjamin Patterson"/>
    <x v="0"/>
    <s v="United States"/>
    <s v="Spokane"/>
    <s v="Washington"/>
    <n v="99207"/>
    <x v="1"/>
    <s v="FUR-TA-10004767"/>
    <x v="0"/>
    <x v="2"/>
    <s v="Safco Drafting Table"/>
    <n v="7098"/>
  </r>
  <r>
    <s v="CA-2015-147914"/>
    <x v="611"/>
    <d v="2015-06-09T00:00:00"/>
    <d v="2015-06-01T00:00:00"/>
    <s v="Standard Class"/>
    <s v="MP-17470"/>
    <s v="Mark Packer"/>
    <x v="2"/>
    <s v="United States"/>
    <s v="Columbus"/>
    <s v="Ohio"/>
    <n v="43229"/>
    <x v="3"/>
    <s v="OFF-PA-10001685"/>
    <x v="1"/>
    <x v="4"/>
    <s v="Easy-staple paper"/>
    <n v="16224"/>
  </r>
  <r>
    <s v="US-2017-112977"/>
    <x v="612"/>
    <d v="2017-03-16T00:00:00"/>
    <d v="2017-03-01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784"/>
  </r>
  <r>
    <s v="CA-2018-112039"/>
    <x v="613"/>
    <d v="2018-03-29T00:00:00"/>
    <d v="2018-03-01T00:00:00"/>
    <s v="Standard Class"/>
    <s v="JC-15775"/>
    <s v="John Castell"/>
    <x v="0"/>
    <s v="United States"/>
    <s v="San Antonio"/>
    <s v="Texas"/>
    <n v="78207"/>
    <x v="2"/>
    <s v="TEC-PH-10000984"/>
    <x v="2"/>
    <x v="10"/>
    <s v="Panasonic KX-TG9471B"/>
    <n v="470376"/>
  </r>
  <r>
    <s v="CA-2018-118885"/>
    <x v="614"/>
    <d v="2019-01-02T00:00:00"/>
    <d v="2018-12-01T00:00:00"/>
    <s v="Standard Class"/>
    <s v="JG-15160"/>
    <s v="James Galang"/>
    <x v="0"/>
    <s v="United States"/>
    <s v="Los Angeles"/>
    <s v="California"/>
    <n v="90049"/>
    <x v="1"/>
    <s v="FUR-CH-10002880"/>
    <x v="0"/>
    <x v="9"/>
    <s v="Global High-Back Leather Tilter, Burgundy"/>
    <n v="393568"/>
  </r>
  <r>
    <s v="US-2018-166611"/>
    <x v="615"/>
    <d v="2018-04-02T00:00:00"/>
    <d v="2018-03-01T00:00:00"/>
    <s v="Standard Class"/>
    <s v="CK-12760"/>
    <s v="Cyma Kinney"/>
    <x v="1"/>
    <s v="United States"/>
    <s v="Jacksonville"/>
    <s v="Florida"/>
    <n v="32216"/>
    <x v="0"/>
    <s v="OFF-BI-10001191"/>
    <x v="1"/>
    <x v="5"/>
    <s v="Canvas Sectional Post Binders"/>
    <n v="68742"/>
  </r>
  <r>
    <s v="CA-2016-109512"/>
    <x v="616"/>
    <d v="2016-03-05T00:00:00"/>
    <d v="2016-03-01T00:00:00"/>
    <s v="Same Day"/>
    <s v="LF-17185"/>
    <s v="Luke Foster"/>
    <x v="0"/>
    <s v="United States"/>
    <s v="New York City"/>
    <s v="New York"/>
    <n v="10011"/>
    <x v="3"/>
    <s v="OFF-EN-10002621"/>
    <x v="1"/>
    <x v="11"/>
    <s v="Staple envelope"/>
    <n v="2934"/>
  </r>
  <r>
    <s v="CA-2018-154718"/>
    <x v="617"/>
    <d v="2018-01-23T00:00:00"/>
    <d v="2018-01-01T00:00:00"/>
    <s v="Second Class"/>
    <s v="DL-12865"/>
    <s v="Dan Lawera"/>
    <x v="0"/>
    <s v="United States"/>
    <s v="Keller"/>
    <s v="Texas"/>
    <n v="76248"/>
    <x v="2"/>
    <s v="OFF-LA-10003714"/>
    <x v="1"/>
    <x v="1"/>
    <s v="Avery 510"/>
    <n v="6"/>
  </r>
  <r>
    <s v="CA-2015-142587"/>
    <x v="618"/>
    <d v="2015-10-22T00:00:00"/>
    <d v="2015-10-01T00:00:00"/>
    <s v="First Class"/>
    <s v="TB-21520"/>
    <s v="Tracy Blumstein"/>
    <x v="0"/>
    <s v="United States"/>
    <s v="Fairfield"/>
    <s v="Ohio"/>
    <n v="45014"/>
    <x v="3"/>
    <s v="OFF-AP-10004708"/>
    <x v="1"/>
    <x v="6"/>
    <s v="Fellowes Superior 10 Outlet Split Surge Protector"/>
    <n v="121792"/>
  </r>
  <r>
    <s v="CA-2015-157623"/>
    <x v="619"/>
    <d v="2015-03-18T00:00:00"/>
    <d v="2015-03-01T00:00:00"/>
    <s v="Standard Class"/>
    <s v="DK-13225"/>
    <s v="Dean Katz"/>
    <x v="1"/>
    <s v="United States"/>
    <s v="Huntington Beach"/>
    <s v="California"/>
    <n v="92646"/>
    <x v="1"/>
    <s v="OFF-PA-10001204"/>
    <x v="1"/>
    <x v="4"/>
    <s v="Xerox 1972"/>
    <n v="1056"/>
  </r>
  <r>
    <s v="CA-2016-109197"/>
    <x v="620"/>
    <d v="2017-01-04T00:00:00"/>
    <d v="2016-12-01T00:00:00"/>
    <s v="Standard Class"/>
    <s v="JO-15280"/>
    <s v="Jas O'Carroll"/>
    <x v="0"/>
    <s v="United States"/>
    <s v="Missoula"/>
    <s v="Montana"/>
    <n v="59801"/>
    <x v="1"/>
    <s v="OFF-BI-10004632"/>
    <x v="1"/>
    <x v="5"/>
    <s v="Ibico Hi-Tech Manual Binding System"/>
    <n v="487984"/>
  </r>
  <r>
    <s v="CA-2018-141789"/>
    <x v="621"/>
    <d v="2018-10-06T00:00:00"/>
    <d v="2018-10-01T00:00:00"/>
    <s v="First Class"/>
    <s v="AC-10450"/>
    <s v="Amy Cox"/>
    <x v="0"/>
    <s v="United States"/>
    <s v="Minneapolis"/>
    <s v="Minnesota"/>
    <n v="55407"/>
    <x v="2"/>
    <s v="OFF-BI-10001359"/>
    <x v="1"/>
    <x v="5"/>
    <s v="GBC DocuBind TL300 Electric Binding System"/>
    <n v="179398"/>
  </r>
  <r>
    <s v="CA-2017-140543"/>
    <x v="622"/>
    <d v="2017-07-03T00:00:00"/>
    <d v="2017-06-01T00:00:00"/>
    <s v="Second Class"/>
    <s v="Co-12640"/>
    <s v="Corey-Lock"/>
    <x v="0"/>
    <s v="United States"/>
    <s v="Florence"/>
    <s v="South Carolina"/>
    <n v="29501"/>
    <x v="0"/>
    <s v="OFF-ST-10000563"/>
    <x v="1"/>
    <x v="7"/>
    <s v="Fellowes Bankers Box Stor/Drawer Steel Plus"/>
    <n v="19188"/>
  </r>
  <r>
    <s v="CA-2017-151141"/>
    <x v="623"/>
    <d v="2017-08-23T00:00:00"/>
    <d v="2017-08-01T00:00:00"/>
    <s v="First Class"/>
    <s v="DW-13480"/>
    <s v="Dianna Wilson"/>
    <x v="2"/>
    <s v="United States"/>
    <s v="Detroit"/>
    <s v="Michigan"/>
    <n v="48205"/>
    <x v="2"/>
    <s v="TEC-PH-10004924"/>
    <x v="2"/>
    <x v="10"/>
    <s v="SKILCRAFT Telephone Shoulder Rest, 2&quot; x 6.5&quot; x 2.5&quot;, Black"/>
    <n v="1478"/>
  </r>
  <r>
    <s v="US-2017-150567"/>
    <x v="624"/>
    <d v="2017-05-21T00:00:00"/>
    <d v="2017-05-01T00:00:00"/>
    <s v="Standard Class"/>
    <s v="RP-19855"/>
    <s v="Roy Phan"/>
    <x v="1"/>
    <s v="United States"/>
    <s v="Apopka"/>
    <s v="Florida"/>
    <n v="32712"/>
    <x v="0"/>
    <s v="OFF-BI-10001757"/>
    <x v="1"/>
    <x v="5"/>
    <s v="Pressboard Hanging Data Binders for Unburst Sheets"/>
    <n v="2952"/>
  </r>
  <r>
    <s v="CA-2017-105963"/>
    <x v="625"/>
    <d v="2017-11-22T00:00:00"/>
    <d v="2017-11-01T00:00:00"/>
    <s v="Standard Class"/>
    <s v="SC-20770"/>
    <s v="Stewart Carmichael"/>
    <x v="1"/>
    <s v="United States"/>
    <s v="Los Angeles"/>
    <s v="California"/>
    <n v="90008"/>
    <x v="1"/>
    <s v="TEC-AC-10003832"/>
    <x v="2"/>
    <x v="12"/>
    <s v="Imation 16GB Mini TravelDrive USB 2.0 Flash Drive"/>
    <n v="9939"/>
  </r>
  <r>
    <s v="CA-2015-103366"/>
    <x v="626"/>
    <d v="2015-01-17T00:00:00"/>
    <d v="2015-01-01T00:00:00"/>
    <s v="First Class"/>
    <s v="EH-13990"/>
    <s v="Erica Hackney"/>
    <x v="0"/>
    <s v="United States"/>
    <s v="Roswell"/>
    <s v="Georgia"/>
    <n v="30076"/>
    <x v="0"/>
    <s v="TEC-AC-10003628"/>
    <x v="2"/>
    <x v="12"/>
    <s v="Logitech 910-002974 M325 Wireless Mouse for Web Scrolling"/>
    <n v="14995"/>
  </r>
  <r>
    <s v="CA-2016-105634"/>
    <x v="627"/>
    <d v="2016-11-14T00:00:00"/>
    <d v="2016-11-01T00:00:00"/>
    <s v="Standard Class"/>
    <s v="HA-14905"/>
    <s v="Helen Abelman"/>
    <x v="0"/>
    <s v="United States"/>
    <s v="Franklin"/>
    <s v="Massachusetts"/>
    <n v="2038"/>
    <x v="3"/>
    <s v="OFF-AR-10001573"/>
    <x v="1"/>
    <x v="8"/>
    <s v="American Pencil"/>
    <n v="1165"/>
  </r>
  <r>
    <s v="CA-2016-123673"/>
    <x v="628"/>
    <d v="2016-11-01T00:00:00"/>
    <d v="2016-10-01T00:00:00"/>
    <s v="Second Class"/>
    <s v="CH-12070"/>
    <s v="Cathy Hwang"/>
    <x v="2"/>
    <s v="United States"/>
    <s v="Detroit"/>
    <s v="Michigan"/>
    <n v="48227"/>
    <x v="2"/>
    <s v="TEC-PH-10001809"/>
    <x v="2"/>
    <x v="10"/>
    <s v="Panasonic KX T7736-B Digital phone"/>
    <n v="2999"/>
  </r>
  <r>
    <s v="US-2018-111423"/>
    <x v="629"/>
    <d v="2018-08-19T00:00:00"/>
    <d v="2018-08-01T00:00:00"/>
    <s v="First Class"/>
    <s v="EH-13765"/>
    <s v="Edward Hooks"/>
    <x v="1"/>
    <s v="United States"/>
    <s v="Watertown"/>
    <s v="New York"/>
    <n v="13601"/>
    <x v="3"/>
    <s v="OFF-BI-10003091"/>
    <x v="1"/>
    <x v="5"/>
    <s v="GBC DocuBind TL200 Manual Binding Machine"/>
    <n v="89592"/>
  </r>
  <r>
    <s v="CA-2017-156685"/>
    <x v="630"/>
    <d v="2017-07-10T00:00:00"/>
    <d v="2017-07-01T00:00:00"/>
    <s v="Second Class"/>
    <s v="SC-20230"/>
    <s v="Scot Coram"/>
    <x v="1"/>
    <s v="United States"/>
    <s v="Arlington"/>
    <s v="Texas"/>
    <n v="76017"/>
    <x v="2"/>
    <s v="TEC-PH-10004345"/>
    <x v="2"/>
    <x v="10"/>
    <s v="Cisco SPA 502G IP Phone"/>
    <n v="86364"/>
  </r>
  <r>
    <s v="CA-2018-102834"/>
    <x v="631"/>
    <d v="2018-03-13T00:00:00"/>
    <d v="2018-03-01T00:00:00"/>
    <s v="Standard Class"/>
    <s v="LW-16990"/>
    <s v="Lindsay Williams"/>
    <x v="1"/>
    <s v="United States"/>
    <s v="San Francisco"/>
    <s v="California"/>
    <n v="94110"/>
    <x v="1"/>
    <s v="TEC-AC-10001908"/>
    <x v="2"/>
    <x v="12"/>
    <s v="Logitech Wireless Headset h800"/>
    <n v="19998"/>
  </r>
  <r>
    <s v="US-2017-139710"/>
    <x v="632"/>
    <d v="2017-06-15T00:00:00"/>
    <d v="2017-06-01T00:00:00"/>
    <s v="Standard Class"/>
    <s v="GM-14680"/>
    <s v="Greg Matthias"/>
    <x v="0"/>
    <s v="United States"/>
    <s v="Los Angeles"/>
    <s v="California"/>
    <n v="90045"/>
    <x v="1"/>
    <s v="TEC-PH-10001198"/>
    <x v="2"/>
    <x v="10"/>
    <s v="Avaya 4621SW VoIP phone"/>
    <n v="17748"/>
  </r>
  <r>
    <s v="US-2018-101539"/>
    <x v="633"/>
    <d v="2018-03-18T00:00:00"/>
    <d v="2018-03-01T00:00:00"/>
    <s v="Second Class"/>
    <s v="VM-21685"/>
    <s v="Valerie Mitchum"/>
    <x v="2"/>
    <s v="United States"/>
    <s v="Seattle"/>
    <s v="Washington"/>
    <n v="98105"/>
    <x v="1"/>
    <s v="OFF-PA-10001972"/>
    <x v="1"/>
    <x v="4"/>
    <s v="Xerox 214"/>
    <n v="648"/>
  </r>
  <r>
    <s v="CA-2018-161200"/>
    <x v="634"/>
    <d v="2018-08-10T00:00:00"/>
    <d v="2018-08-01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74"/>
  </r>
  <r>
    <s v="CA-2018-144064"/>
    <x v="635"/>
    <d v="2018-09-01T00:00:00"/>
    <d v="2018-08-01T00:00:00"/>
    <s v="First Class"/>
    <s v="CP-12085"/>
    <s v="Cathy Prescott"/>
    <x v="1"/>
    <s v="United States"/>
    <s v="Quincy"/>
    <s v="Illinois"/>
    <n v="62301"/>
    <x v="2"/>
    <s v="OFF-LA-10004544"/>
    <x v="1"/>
    <x v="1"/>
    <s v="Avery 505"/>
    <n v="4736"/>
  </r>
  <r>
    <s v="CA-2018-140242"/>
    <x v="636"/>
    <d v="2018-05-11T00:00:00"/>
    <d v="2018-05-01T00:00:00"/>
    <s v="Standard Class"/>
    <s v="ML-17755"/>
    <s v="Max Ludwig"/>
    <x v="2"/>
    <s v="United States"/>
    <s v="Chicago"/>
    <s v="Illinois"/>
    <n v="60623"/>
    <x v="2"/>
    <s v="OFF-AR-10004752"/>
    <x v="1"/>
    <x v="8"/>
    <s v="Blackstonian Pencils"/>
    <n v="6408"/>
  </r>
  <r>
    <s v="CA-2015-148950"/>
    <x v="637"/>
    <d v="2015-12-19T00:00:00"/>
    <d v="2015-12-01T00:00:00"/>
    <s v="Standard Class"/>
    <s v="JD-16015"/>
    <s v="Joy Daniels"/>
    <x v="0"/>
    <s v="United States"/>
    <s v="Chicago"/>
    <s v="Illinois"/>
    <n v="60610"/>
    <x v="2"/>
    <s v="OFF-BI-10001249"/>
    <x v="1"/>
    <x v="5"/>
    <s v="Avery Heavy-Duty EZD View Binder with Locking Rings"/>
    <n v="5104"/>
  </r>
  <r>
    <s v="CA-2015-110408"/>
    <x v="638"/>
    <d v="2015-10-20T00:00:00"/>
    <d v="2015-10-01T00:00:00"/>
    <s v="Second Class"/>
    <s v="AS-10225"/>
    <s v="Alan Schoenberger"/>
    <x v="1"/>
    <s v="United States"/>
    <s v="Montgomery"/>
    <s v="Alabama"/>
    <n v="36116"/>
    <x v="0"/>
    <s v="OFF-ST-10001522"/>
    <x v="1"/>
    <x v="7"/>
    <s v="Gould Plastics 18-Pocket Panel Bin, 34w x 5-1/4d x 20-1/2h"/>
    <n v="27597"/>
  </r>
  <r>
    <s v="CA-2016-119592"/>
    <x v="639"/>
    <d v="2016-12-16T00:00:00"/>
    <d v="2016-12-01T00:00:00"/>
    <s v="Second Class"/>
    <s v="MM-18280"/>
    <s v="Muhammed MacIntyre"/>
    <x v="1"/>
    <s v="United States"/>
    <s v="Columbus"/>
    <s v="Georgia"/>
    <n v="31907"/>
    <x v="0"/>
    <s v="OFF-BI-10004187"/>
    <x v="1"/>
    <x v="5"/>
    <s v="3-ring staple pack"/>
    <n v="376"/>
  </r>
  <r>
    <s v="CA-2015-122749"/>
    <x v="640"/>
    <d v="2015-12-09T00:00:00"/>
    <d v="2015-12-01T00:00:00"/>
    <s v="Standard Class"/>
    <s v="NG-18430"/>
    <s v="Nathan Gelder"/>
    <x v="0"/>
    <s v="United States"/>
    <s v="Oklahoma City"/>
    <s v="Oklahoma"/>
    <n v="73120"/>
    <x v="2"/>
    <s v="TEC-PH-10003811"/>
    <x v="2"/>
    <x v="10"/>
    <s v="Jabra Supreme Plus Driver Edition Headset"/>
    <n v="47996"/>
  </r>
  <r>
    <s v="CA-2015-164721"/>
    <x v="641"/>
    <d v="2015-11-27T00:00:00"/>
    <d v="2015-11-01T00:00:00"/>
    <s v="Second Class"/>
    <s v="LW-16825"/>
    <s v="Laurel Workman"/>
    <x v="1"/>
    <s v="United States"/>
    <s v="Brentwood"/>
    <s v="California"/>
    <n v="94513"/>
    <x v="1"/>
    <s v="OFF-AP-10000240"/>
    <x v="1"/>
    <x v="6"/>
    <s v="Belkin F9G930V10-GRY 9 Outlet Surge"/>
    <n v="32088"/>
  </r>
  <r>
    <s v="CA-2018-111374"/>
    <x v="642"/>
    <d v="2018-02-28T00:00:00"/>
    <d v="2018-02-01T00:00:00"/>
    <s v="Standard Class"/>
    <s v="CB-12415"/>
    <s v="Christy Brittain"/>
    <x v="0"/>
    <s v="United States"/>
    <s v="Philadelphia"/>
    <s v="Pennsylvania"/>
    <n v="19134"/>
    <x v="3"/>
    <s v="OFF-BI-10004970"/>
    <x v="1"/>
    <x v="5"/>
    <s v="ACCOHIDE 3-Ring Binder, Blue, 1&quot;"/>
    <n v="4956"/>
  </r>
  <r>
    <s v="CA-2018-133648"/>
    <x v="643"/>
    <d v="2018-07-02T00:00:00"/>
    <d v="2018-06-01T00:00:00"/>
    <s v="Standard Class"/>
    <s v="ML-17755"/>
    <s v="Max Ludwig"/>
    <x v="2"/>
    <s v="United States"/>
    <s v="Springfield"/>
    <s v="Oregon"/>
    <n v="97477"/>
    <x v="1"/>
    <s v="OFF-LA-10003923"/>
    <x v="1"/>
    <x v="1"/>
    <s v="Alphabetical Labels for Top Tab Filing"/>
    <n v="7104"/>
  </r>
  <r>
    <s v="CA-2015-131905"/>
    <x v="644"/>
    <d v="2015-02-09T00:00:00"/>
    <d v="2015-02-01T00:00:00"/>
    <s v="First Class"/>
    <s v="ND-18460"/>
    <s v="Neil Ducich"/>
    <x v="1"/>
    <s v="United States"/>
    <s v="Chesapeake"/>
    <s v="Virginia"/>
    <n v="23320"/>
    <x v="0"/>
    <s v="OFF-LA-10002787"/>
    <x v="1"/>
    <x v="1"/>
    <s v="Avery 480"/>
    <n v="15"/>
  </r>
  <r>
    <s v="CA-2018-166128"/>
    <x v="645"/>
    <d v="2018-04-18T00:00:00"/>
    <d v="2018-04-01T00:00:00"/>
    <s v="Standard Class"/>
    <s v="LW-17215"/>
    <s v="Luke Weiss"/>
    <x v="0"/>
    <s v="United States"/>
    <s v="Pasadena"/>
    <s v="California"/>
    <n v="91104"/>
    <x v="1"/>
    <s v="TEC-AC-10001767"/>
    <x v="2"/>
    <x v="12"/>
    <s v="SanDisk Ultra 64 GB MicroSDHC Class 10 Memory Card"/>
    <n v="19995"/>
  </r>
  <r>
    <s v="CA-2018-165386"/>
    <x v="646"/>
    <d v="2018-08-04T00:00:00"/>
    <d v="2018-08-01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372"/>
  </r>
  <r>
    <s v="CA-2015-116407"/>
    <x v="647"/>
    <d v="2015-11-21T00:00:00"/>
    <d v="2015-11-01T00:00:00"/>
    <s v="Standard Class"/>
    <s v="JF-15190"/>
    <s v="Jamie Frazer"/>
    <x v="0"/>
    <s v="United States"/>
    <s v="Johnson City"/>
    <s v="Tennessee"/>
    <n v="37604"/>
    <x v="0"/>
    <s v="OFF-AR-10001315"/>
    <x v="1"/>
    <x v="8"/>
    <s v="Newell 310"/>
    <n v="4224"/>
  </r>
  <r>
    <s v="US-2018-111241"/>
    <x v="648"/>
    <d v="2018-08-22T00:00:00"/>
    <d v="2018-08-01T00:00:00"/>
    <s v="Second Class"/>
    <s v="GM-14500"/>
    <s v="Gene McClure"/>
    <x v="0"/>
    <s v="United States"/>
    <s v="Fresno"/>
    <s v="California"/>
    <n v="93727"/>
    <x v="1"/>
    <s v="OFF-BI-10002867"/>
    <x v="1"/>
    <x v="5"/>
    <s v="GBC Recycled Regency Composition Covers"/>
    <n v="23912"/>
  </r>
  <r>
    <s v="CA-2016-114237"/>
    <x v="649"/>
    <d v="2016-03-15T00:00:00"/>
    <d v="2016-03-01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96"/>
  </r>
  <r>
    <s v="CA-2016-117961"/>
    <x v="650"/>
    <d v="2016-11-30T00:00:00"/>
    <d v="2016-11-01T00:00:00"/>
    <s v="Standard Class"/>
    <s v="GP-14740"/>
    <s v="Guy Phonely"/>
    <x v="1"/>
    <s v="United States"/>
    <s v="Leominster"/>
    <s v="Massachusetts"/>
    <n v="1453"/>
    <x v="3"/>
    <s v="OFF-BI-10000343"/>
    <x v="1"/>
    <x v="5"/>
    <s v="Pressboard Covers with Storage Hooks, 9 1/2&quot; x 11&quot;, Light Blue"/>
    <n v="1473"/>
  </r>
  <r>
    <s v="CA-2016-119214"/>
    <x v="651"/>
    <d v="2016-01-27T00:00:00"/>
    <d v="2016-01-01T00:00:00"/>
    <s v="Standard Class"/>
    <s v="CW-11905"/>
    <s v="Carl Weiss"/>
    <x v="2"/>
    <s v="United States"/>
    <s v="Bozeman"/>
    <s v="Montana"/>
    <n v="59715"/>
    <x v="1"/>
    <s v="OFF-PA-10002893"/>
    <x v="1"/>
    <x v="4"/>
    <s v="Wirebound Service Call Books, 5 1/2&quot; x 4&quot;"/>
    <n v="2904"/>
  </r>
  <r>
    <s v="CA-2016-122287"/>
    <x v="652"/>
    <d v="2016-06-23T00:00:00"/>
    <d v="2016-06-01T00:00:00"/>
    <s v="Standard Class"/>
    <s v="SN-20560"/>
    <s v="Skye Norling"/>
    <x v="2"/>
    <s v="United States"/>
    <s v="Peoria"/>
    <s v="Arizona"/>
    <n v="85345"/>
    <x v="1"/>
    <s v="OFF-PA-10001661"/>
    <x v="1"/>
    <x v="4"/>
    <s v="Xerox 1922"/>
    <n v="11952"/>
  </r>
  <r>
    <s v="CA-2016-104493"/>
    <x v="653"/>
    <d v="2016-10-08T00:00:00"/>
    <d v="2016-10-01T00:00:00"/>
    <s v="Standard Class"/>
    <s v="EB-13705"/>
    <s v="Ed Braxton"/>
    <x v="1"/>
    <s v="United States"/>
    <s v="San Diego"/>
    <s v="California"/>
    <n v="92105"/>
    <x v="1"/>
    <s v="OFF-BI-10004817"/>
    <x v="1"/>
    <x v="5"/>
    <s v="GBC Personal VeloBind Strips"/>
    <n v="57504"/>
  </r>
  <r>
    <s v="CA-2015-129168"/>
    <x v="654"/>
    <d v="2015-08-23T00:00:00"/>
    <d v="2015-08-01T00:00:00"/>
    <s v="Standard Class"/>
    <s v="KB-16585"/>
    <s v="Ken Black"/>
    <x v="1"/>
    <s v="United States"/>
    <s v="Houston"/>
    <s v="Texas"/>
    <n v="77095"/>
    <x v="2"/>
    <s v="OFF-PA-10001639"/>
    <x v="1"/>
    <x v="4"/>
    <s v="Xerox 203"/>
    <n v="15552"/>
  </r>
  <r>
    <s v="CA-2016-142237"/>
    <x v="655"/>
    <d v="2016-07-13T00:00:00"/>
    <d v="2016-07-01T00:00:00"/>
    <s v="First Class"/>
    <s v="CK-12595"/>
    <s v="Clytie Kelty"/>
    <x v="0"/>
    <s v="United States"/>
    <s v="Philadelphia"/>
    <s v="Pennsylvania"/>
    <n v="19134"/>
    <x v="3"/>
    <s v="FUR-FU-10004848"/>
    <x v="0"/>
    <x v="3"/>
    <s v="Howard Miller 13-3/4&quot; Diameter Brushed Chrome Round Wall Clock"/>
    <n v="2898"/>
  </r>
  <r>
    <s v="CA-2015-106439"/>
    <x v="656"/>
    <d v="2015-11-04T00:00:00"/>
    <d v="2015-10-0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34"/>
  </r>
  <r>
    <s v="CA-2016-133452"/>
    <x v="657"/>
    <d v="2016-04-19T00:00:00"/>
    <d v="2016-04-01T00:00:00"/>
    <s v="Standard Class"/>
    <s v="ZC-21910"/>
    <s v="Zuschuss Carroll"/>
    <x v="0"/>
    <s v="United States"/>
    <s v="Pomona"/>
    <s v="California"/>
    <n v="91767"/>
    <x v="1"/>
    <s v="TEC-AC-10002800"/>
    <x v="2"/>
    <x v="12"/>
    <s v="Plantronics Audio 478 Stereo USB Headset"/>
    <n v="19996"/>
  </r>
  <r>
    <s v="CA-2017-146521"/>
    <x v="658"/>
    <d v="2017-07-23T00:00:00"/>
    <d v="2017-07-01T00:00:00"/>
    <s v="Second Class"/>
    <s v="CC-12610"/>
    <s v="Corey Catlett"/>
    <x v="1"/>
    <s v="United States"/>
    <s v="Philadelphia"/>
    <s v="Pennsylvania"/>
    <n v="19134"/>
    <x v="3"/>
    <s v="OFF-BI-10000301"/>
    <x v="1"/>
    <x v="5"/>
    <s v="GBC Instant Report Kit"/>
    <n v="1941"/>
  </r>
  <r>
    <s v="CA-2018-122504"/>
    <x v="659"/>
    <d v="2018-11-12T00:00:00"/>
    <d v="2018-11-01T00:00:00"/>
    <s v="Second Class"/>
    <s v="DB-13270"/>
    <s v="Deborah Brumfield"/>
    <x v="2"/>
    <s v="United States"/>
    <s v="Brentwood"/>
    <s v="California"/>
    <n v="94513"/>
    <x v="1"/>
    <s v="TEC-AC-10003289"/>
    <x v="2"/>
    <x v="12"/>
    <s v="Anker Ultra-Slim Mini Bluetooth 3.0 Wireless Keyboard"/>
    <n v="5997"/>
  </r>
  <r>
    <s v="CA-2018-104647"/>
    <x v="660"/>
    <d v="2018-03-01T00:00:00"/>
    <d v="2018-02-01T00:00:00"/>
    <s v="Standard Class"/>
    <s v="CK-12595"/>
    <s v="Clytie Kelty"/>
    <x v="0"/>
    <s v="United States"/>
    <s v="Los Angeles"/>
    <s v="California"/>
    <n v="90008"/>
    <x v="1"/>
    <s v="OFF-PA-10002870"/>
    <x v="1"/>
    <x v="4"/>
    <s v="Ampad Phone Message Book, Recycled, 400 Message Capacity, 5 ¾” x 11”"/>
    <n v="3744"/>
  </r>
  <r>
    <s v="CA-2017-140501"/>
    <x v="661"/>
    <d v="2017-06-28T00:00:00"/>
    <d v="2017-06-01T00:00:00"/>
    <s v="Standard Class"/>
    <s v="IM-15070"/>
    <s v="Irene Maddox"/>
    <x v="0"/>
    <s v="United States"/>
    <s v="New York City"/>
    <s v="New York"/>
    <n v="10009"/>
    <x v="3"/>
    <s v="OFF-LA-10003510"/>
    <x v="1"/>
    <x v="1"/>
    <s v="Avery 4027 File Folder Labels for Dot Matrix Printers, 5000 Labels per Box, White"/>
    <n v="12212"/>
  </r>
  <r>
    <s v="CA-2016-139290"/>
    <x v="662"/>
    <d v="2016-10-30T00:00:00"/>
    <d v="2016-10-01T00:00:00"/>
    <s v="Standard Class"/>
    <s v="MY-17380"/>
    <s v="Maribeth Yedwab"/>
    <x v="1"/>
    <s v="United States"/>
    <s v="Rancho Cucamonga"/>
    <s v="California"/>
    <n v="91730"/>
    <x v="1"/>
    <s v="OFF-LA-10004008"/>
    <x v="1"/>
    <x v="1"/>
    <s v="Avery 507"/>
    <n v="576"/>
  </r>
  <r>
    <s v="CA-2018-166142"/>
    <x v="663"/>
    <d v="2018-07-19T00:00:00"/>
    <d v="2018-07-01T00:00:00"/>
    <s v="Standard Class"/>
    <s v="MM-17260"/>
    <s v="Magdelene Morse"/>
    <x v="0"/>
    <s v="United States"/>
    <s v="Wilmington"/>
    <s v="Delaware"/>
    <n v="19805"/>
    <x v="3"/>
    <s v="OFF-BI-10004094"/>
    <x v="1"/>
    <x v="5"/>
    <s v="GBC Standard Plastic Binding Systems Combs"/>
    <n v="2655"/>
  </r>
  <r>
    <s v="CA-2015-145926"/>
    <x v="664"/>
    <d v="2015-11-21T00:00:00"/>
    <d v="2015-11-01T00:00:00"/>
    <s v="Standard Class"/>
    <s v="MP-17470"/>
    <s v="Mark Packer"/>
    <x v="2"/>
    <s v="United States"/>
    <s v="Moorhead"/>
    <s v="Minnesota"/>
    <n v="56560"/>
    <x v="2"/>
    <s v="FUR-CH-10004289"/>
    <x v="0"/>
    <x v="9"/>
    <s v="Global Super Steno Chair"/>
    <n v="4799"/>
  </r>
  <r>
    <s v="US-2016-164357"/>
    <x v="665"/>
    <d v="2016-11-29T00:00:00"/>
    <d v="2016-11-01T00:00:00"/>
    <s v="Standard Class"/>
    <s v="SF-20065"/>
    <s v="Sandra Flanagan"/>
    <x v="0"/>
    <s v="United States"/>
    <s v="Wilmington"/>
    <s v="North Carolina"/>
    <n v="28403"/>
    <x v="0"/>
    <s v="OFF-AR-10001177"/>
    <x v="1"/>
    <x v="8"/>
    <s v="Newell 349"/>
    <n v="1312"/>
  </r>
  <r>
    <s v="US-2017-146570"/>
    <x v="666"/>
    <d v="2017-05-20T00:00:00"/>
    <d v="2017-05-01T00:00:00"/>
    <s v="Standard Class"/>
    <s v="SN-20710"/>
    <s v="Steve Nguyen"/>
    <x v="2"/>
    <s v="United States"/>
    <s v="Jackson"/>
    <s v="Mississippi"/>
    <n v="39212"/>
    <x v="0"/>
    <s v="OFF-BI-10001718"/>
    <x v="1"/>
    <x v="5"/>
    <s v="GBC DocuBind P50 Personal Binding Machine"/>
    <n v="51184"/>
  </r>
  <r>
    <s v="CA-2015-123295"/>
    <x v="667"/>
    <d v="2015-07-18T00:00:00"/>
    <d v="2015-07-01T00:00:00"/>
    <s v="Same Day"/>
    <s v="AH-10120"/>
    <s v="Adrian Hane"/>
    <x v="2"/>
    <s v="United States"/>
    <s v="Tucson"/>
    <s v="Arizona"/>
    <n v="85705"/>
    <x v="1"/>
    <s v="FUR-CH-10002372"/>
    <x v="0"/>
    <x v="9"/>
    <s v="Office Star - Ergonomically Designed Knee Chair"/>
    <n v="259136"/>
  </r>
  <r>
    <s v="CA-2018-167101"/>
    <x v="668"/>
    <d v="2018-03-28T00:00:00"/>
    <d v="2018-03-01T00:00:00"/>
    <s v="Second Class"/>
    <s v="BM-11650"/>
    <s v="Brian Moss"/>
    <x v="1"/>
    <s v="United States"/>
    <s v="New York City"/>
    <s v="New York"/>
    <n v="10009"/>
    <x v="3"/>
    <s v="OFF-PA-10000357"/>
    <x v="1"/>
    <x v="4"/>
    <s v="Xerox 1888"/>
    <n v="22192"/>
  </r>
  <r>
    <s v="CA-2018-155460"/>
    <x v="669"/>
    <d v="2018-04-15T00:00:00"/>
    <d v="2018-04-01T00:00:00"/>
    <s v="First Class"/>
    <s v="RW-19630"/>
    <s v="Rob Williams"/>
    <x v="1"/>
    <s v="United States"/>
    <s v="Seattle"/>
    <s v="Washington"/>
    <n v="98105"/>
    <x v="1"/>
    <s v="OFF-PA-10002479"/>
    <x v="1"/>
    <x v="4"/>
    <s v="Xerox 4200 Series MultiUse Premium Copy Paper (20Lb. and 84 Bright)"/>
    <n v="528"/>
  </r>
  <r>
    <s v="CA-2015-126032"/>
    <x v="670"/>
    <d v="2015-06-28T00:00:00"/>
    <d v="2015-06-01T00:00:00"/>
    <s v="Standard Class"/>
    <s v="BS-11665"/>
    <s v="Brian Stugart"/>
    <x v="0"/>
    <s v="United States"/>
    <s v="Philadelphia"/>
    <s v="Pennsylvania"/>
    <n v="19143"/>
    <x v="3"/>
    <s v="TEC-AC-10000158"/>
    <x v="2"/>
    <x v="12"/>
    <s v="Sony 64GB Class 10 Micro SDHC R40 Memory Card"/>
    <n v="86376"/>
  </r>
  <r>
    <s v="US-2015-114188"/>
    <x v="671"/>
    <d v="2015-05-22T00:00:00"/>
    <d v="2015-05-01T00:00:00"/>
    <s v="Second Class"/>
    <s v="RF-19345"/>
    <s v="Randy Ferguson"/>
    <x v="1"/>
    <s v="United States"/>
    <s v="Dover"/>
    <s v="New Hampshire"/>
    <n v="3820"/>
    <x v="3"/>
    <s v="OFF-AP-10000124"/>
    <x v="1"/>
    <x v="6"/>
    <s v="Acco 6 Outlet Guardian Basic Surge Suppressor"/>
    <n v="3328"/>
  </r>
  <r>
    <s v="CA-2016-122210"/>
    <x v="672"/>
    <d v="2016-12-04T00:00:00"/>
    <d v="2016-11-01T00:00:00"/>
    <s v="Standard Class"/>
    <s v="WB-21850"/>
    <s v="William Brown"/>
    <x v="0"/>
    <s v="United States"/>
    <s v="Philadelphia"/>
    <s v="Pennsylvania"/>
    <n v="19134"/>
    <x v="3"/>
    <s v="OFF-BI-10003656"/>
    <x v="1"/>
    <x v="5"/>
    <s v="Fellowes PB200 Plastic Comb Binding Machine"/>
    <n v="152991"/>
  </r>
  <r>
    <s v="US-2018-157896"/>
    <x v="673"/>
    <d v="2018-11-16T00:00:00"/>
    <d v="2018-11-01T00:00:00"/>
    <s v="Same Day"/>
    <s v="CB-12415"/>
    <s v="Christy Brittain"/>
    <x v="0"/>
    <s v="United States"/>
    <s v="New York City"/>
    <s v="New York"/>
    <n v="10009"/>
    <x v="3"/>
    <s v="OFF-PA-10004092"/>
    <x v="1"/>
    <x v="4"/>
    <s v="Tops Green Bar Computer Printout Paper"/>
    <n v="14682"/>
  </r>
  <r>
    <s v="US-2017-152051"/>
    <x v="674"/>
    <d v="2017-06-29T00:00:00"/>
    <d v="2017-06-01T00:00:00"/>
    <s v="Standard Class"/>
    <s v="TS-21160"/>
    <s v="Theresa Swint"/>
    <x v="1"/>
    <s v="United States"/>
    <s v="York"/>
    <s v="Pennsylvania"/>
    <n v="17403"/>
    <x v="3"/>
    <s v="FUR-CH-10002965"/>
    <x v="0"/>
    <x v="9"/>
    <s v="Global Leather Highback Executive Chair with Pneumatic Height Adjustment, Black"/>
    <n v="422058"/>
  </r>
  <r>
    <s v="CA-2017-141019"/>
    <x v="675"/>
    <d v="2017-05-14T00:00:00"/>
    <d v="2017-05-01T00:00:00"/>
    <s v="Same Day"/>
    <s v="LH-17155"/>
    <s v="Logan Haushalter"/>
    <x v="0"/>
    <s v="United States"/>
    <s v="Cincinnati"/>
    <s v="Ohio"/>
    <n v="45231"/>
    <x v="3"/>
    <s v="FUR-FU-10002937"/>
    <x v="0"/>
    <x v="3"/>
    <s v="GE 48&quot; Fluorescent Tube, Cool White Energy Saver, 34 Watts, 30/Box"/>
    <n v="79384"/>
  </r>
  <r>
    <s v="CA-2017-101938"/>
    <x v="676"/>
    <d v="2017-01-12T00:00:00"/>
    <d v="2017-01-01T00:00:00"/>
    <s v="Standard Class"/>
    <s v="DW-13480"/>
    <s v="Dianna Wilson"/>
    <x v="2"/>
    <s v="United States"/>
    <s v="Oakland"/>
    <s v="California"/>
    <n v="94601"/>
    <x v="1"/>
    <s v="OFF-AR-10003696"/>
    <x v="1"/>
    <x v="8"/>
    <s v="Panasonic KP-350BK Electric Pencil Sharpener with Auto Stop"/>
    <n v="3458"/>
  </r>
  <r>
    <s v="CA-2018-166296"/>
    <x v="677"/>
    <d v="2018-03-19T00:00:00"/>
    <d v="2018-03-01T00:00:00"/>
    <s v="Standard Class"/>
    <s v="KF-16285"/>
    <s v="Karen Ferguson"/>
    <x v="2"/>
    <s v="United States"/>
    <s v="Manteca"/>
    <s v="California"/>
    <n v="95336"/>
    <x v="1"/>
    <s v="OFF-PA-10004359"/>
    <x v="1"/>
    <x v="4"/>
    <s v="Multicolor Computer Printout Paper"/>
    <n v="31455"/>
  </r>
  <r>
    <s v="CA-2018-117870"/>
    <x v="678"/>
    <d v="2018-01-30T00:00:00"/>
    <d v="2018-01-01T00:00:00"/>
    <s v="Second Class"/>
    <s v="JH-15820"/>
    <s v="John Huston"/>
    <x v="0"/>
    <s v="United States"/>
    <s v="Kent"/>
    <s v="Ohio"/>
    <n v="44240"/>
    <x v="3"/>
    <s v="OFF-AR-10004078"/>
    <x v="1"/>
    <x v="8"/>
    <s v="Newell 312"/>
    <n v="14016"/>
  </r>
  <r>
    <s v="CA-2017-112025"/>
    <x v="679"/>
    <d v="2017-08-04T00:00:00"/>
    <d v="2017-07-01T00:00:00"/>
    <s v="Standard Class"/>
    <s v="LS-16975"/>
    <s v="Lindsay Shagiari"/>
    <x v="2"/>
    <s v="United States"/>
    <s v="Houston"/>
    <s v="Texas"/>
    <n v="77070"/>
    <x v="2"/>
    <s v="OFF-BI-10002353"/>
    <x v="1"/>
    <x v="5"/>
    <s v="GBC VeloBind Cover Sets"/>
    <n v="9264"/>
  </r>
  <r>
    <s v="CA-2017-125738"/>
    <x v="680"/>
    <d v="2017-10-21T00:00:00"/>
    <d v="2017-10-01T00:00:00"/>
    <s v="Standard Class"/>
    <s v="PB-18805"/>
    <s v="Patrick Bzostek"/>
    <x v="2"/>
    <s v="United States"/>
    <s v="Salt Lake City"/>
    <s v="Utah"/>
    <n v="84106"/>
    <x v="1"/>
    <s v="OFF-PA-10000740"/>
    <x v="1"/>
    <x v="4"/>
    <s v="Xerox 1982"/>
    <n v="4568"/>
  </r>
  <r>
    <s v="CA-2017-128818"/>
    <x v="681"/>
    <d v="2017-05-11T00:00:00"/>
    <d v="2017-05-01T00:00:00"/>
    <s v="Standard Class"/>
    <s v="CJ-12010"/>
    <s v="Caroline Jumper"/>
    <x v="0"/>
    <s v="United States"/>
    <s v="New York City"/>
    <s v="New York"/>
    <n v="10009"/>
    <x v="3"/>
    <s v="OFF-BI-10000309"/>
    <x v="1"/>
    <x v="5"/>
    <s v="GBC Twin Loop Wire Binding Elements, 9/16&quot; Spine, Black"/>
    <n v="85232"/>
  </r>
  <r>
    <s v="CA-2018-143063"/>
    <x v="682"/>
    <d v="2018-08-15T00:00:00"/>
    <d v="2018-08-01T00:00:00"/>
    <s v="Standard Class"/>
    <s v="IL-15100"/>
    <s v="Ivan Liston"/>
    <x v="0"/>
    <s v="United States"/>
    <s v="Columbus"/>
    <s v="Indiana"/>
    <n v="47201"/>
    <x v="2"/>
    <s v="OFF-EN-10003134"/>
    <x v="1"/>
    <x v="11"/>
    <s v="Staple envelope"/>
    <n v="7008"/>
  </r>
  <r>
    <s v="CA-2015-163013"/>
    <x v="683"/>
    <d v="2015-12-04T00:00:00"/>
    <d v="2015-11-01T00:00:00"/>
    <s v="Standard Class"/>
    <s v="BF-11080"/>
    <s v="Bart Folk"/>
    <x v="0"/>
    <s v="United States"/>
    <s v="Montgomery"/>
    <s v="Alabama"/>
    <n v="36116"/>
    <x v="0"/>
    <s v="OFF-AR-10001954"/>
    <x v="1"/>
    <x v="8"/>
    <s v="Newell 331"/>
    <n v="1467"/>
  </r>
  <r>
    <s v="CA-2016-138002"/>
    <x v="684"/>
    <d v="2016-09-12T00:00:00"/>
    <d v="2016-09-01T00:00:00"/>
    <s v="Standard Class"/>
    <s v="BT-11305"/>
    <s v="Beth Thompson"/>
    <x v="2"/>
    <s v="United States"/>
    <s v="Seattle"/>
    <s v="Washington"/>
    <n v="98103"/>
    <x v="1"/>
    <s v="OFF-BI-10002160"/>
    <x v="1"/>
    <x v="5"/>
    <s v="Acco Hanging Data Binders"/>
    <n v="6096"/>
  </r>
  <r>
    <s v="CA-2016-128860"/>
    <x v="685"/>
    <d v="2016-07-05T00:00:00"/>
    <d v="2016-06-01T00:00:00"/>
    <s v="Standard Class"/>
    <s v="SC-20725"/>
    <s v="Steven Cartwright"/>
    <x v="0"/>
    <s v="United States"/>
    <s v="Lancaster"/>
    <s v="Pennsylvania"/>
    <n v="17602"/>
    <x v="3"/>
    <s v="FUR-FU-10001473"/>
    <x v="0"/>
    <x v="3"/>
    <s v="Eldon Executive Woodline II Desk Accessories, Mahogany"/>
    <n v="20104"/>
  </r>
  <r>
    <s v="US-2015-103905"/>
    <x v="686"/>
    <d v="2015-07-20T00:00:00"/>
    <d v="2015-07-01T00:00:00"/>
    <s v="Standard Class"/>
    <s v="AW-10930"/>
    <s v="Arthur Wiediger"/>
    <x v="2"/>
    <s v="United States"/>
    <s v="Aurora"/>
    <s v="Illinois"/>
    <n v="60505"/>
    <x v="2"/>
    <s v="OFF-BI-10001098"/>
    <x v="1"/>
    <x v="5"/>
    <s v="Acco D-Ring Binder w/DublLock"/>
    <n v="29932"/>
  </r>
  <r>
    <s v="CA-2015-125556"/>
    <x v="687"/>
    <d v="2015-11-16T00:00:00"/>
    <d v="2015-11-01T00:00:00"/>
    <s v="Second Class"/>
    <s v="ML-17410"/>
    <s v="Maris LaWare"/>
    <x v="0"/>
    <s v="United States"/>
    <s v="Fairfield"/>
    <s v="Connecticut"/>
    <n v="6824"/>
    <x v="3"/>
    <s v="TEC-PH-10001079"/>
    <x v="2"/>
    <x v="10"/>
    <s v="Polycom SoundPoint Pro SE-225 Corded phone"/>
    <n v="83293"/>
  </r>
  <r>
    <s v="CA-2018-130841"/>
    <x v="688"/>
    <d v="2018-08-01T00:00:00"/>
    <d v="2018-07-01T00:00:00"/>
    <s v="Standard Class"/>
    <s v="MH-17620"/>
    <s v="Matt Hagelstein"/>
    <x v="1"/>
    <s v="United States"/>
    <s v="San Francisco"/>
    <s v="California"/>
    <n v="94110"/>
    <x v="1"/>
    <s v="OFF-BI-10000145"/>
    <x v="1"/>
    <x v="5"/>
    <s v="Zipper Ring Binder Pockets"/>
    <n v="9984"/>
  </r>
  <r>
    <s v="CA-2018-121909"/>
    <x v="689"/>
    <d v="2018-08-05T00:00:00"/>
    <d v="2018-07-01T00:00:00"/>
    <s v="Standard Class"/>
    <s v="EA-14035"/>
    <s v="Erin Ashbrook"/>
    <x v="1"/>
    <s v="United States"/>
    <s v="Philadelphia"/>
    <s v="Pennsylvania"/>
    <n v="19134"/>
    <x v="3"/>
    <s v="OFF-PA-10003790"/>
    <x v="1"/>
    <x v="4"/>
    <s v="Xerox 1991"/>
    <n v="54816"/>
  </r>
  <r>
    <s v="CA-2017-106383"/>
    <x v="690"/>
    <d v="2017-03-21T00:00:00"/>
    <d v="2017-03-0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294"/>
  </r>
  <r>
    <s v="CA-2015-128055"/>
    <x v="691"/>
    <d v="2015-04-05T00:00:00"/>
    <d v="2015-03-01T00:00:00"/>
    <s v="Standard Class"/>
    <s v="AA-10315"/>
    <s v="Alex Avila"/>
    <x v="0"/>
    <s v="United States"/>
    <s v="San Francisco"/>
    <s v="California"/>
    <n v="94122"/>
    <x v="1"/>
    <s v="OFF-BI-10004390"/>
    <x v="1"/>
    <x v="5"/>
    <s v="GBC DocuBind 200 Manual Binding Machine"/>
    <n v="673568"/>
  </r>
  <r>
    <s v="CA-2017-122322"/>
    <x v="692"/>
    <d v="2017-07-21T00:00:00"/>
    <d v="2017-07-01T00:00:00"/>
    <s v="Standard Class"/>
    <s v="RH-19510"/>
    <s v="Rick Huthwaite"/>
    <x v="2"/>
    <s v="United States"/>
    <s v="Provo"/>
    <s v="Utah"/>
    <n v="84604"/>
    <x v="1"/>
    <s v="OFF-SU-10000952"/>
    <x v="1"/>
    <x v="16"/>
    <s v="Fiskars Home &amp; Office Scissors"/>
    <n v="444"/>
  </r>
  <r>
    <s v="CA-2018-166849"/>
    <x v="693"/>
    <d v="2018-04-26T00:00:00"/>
    <d v="2018-04-01T00:00:00"/>
    <s v="Standard Class"/>
    <s v="SJ-20125"/>
    <s v="Sanjit Jacobs"/>
    <x v="2"/>
    <s v="United States"/>
    <s v="Chicago"/>
    <s v="Illinois"/>
    <n v="60610"/>
    <x v="2"/>
    <s v="FUR-FU-10004597"/>
    <x v="0"/>
    <x v="3"/>
    <s v="Eldon Cleatmat Chair Mats for Medium Pile Carpets"/>
    <n v="444"/>
  </r>
  <r>
    <s v="CA-2016-169201"/>
    <x v="694"/>
    <d v="2016-10-01T00:00:00"/>
    <d v="2016-09-01T00:00:00"/>
    <s v="First Class"/>
    <s v="HG-14965"/>
    <s v="Henry Goldwyn"/>
    <x v="1"/>
    <s v="United States"/>
    <s v="San Francisco"/>
    <s v="California"/>
    <n v="94110"/>
    <x v="1"/>
    <s v="OFF-AP-10000696"/>
    <x v="1"/>
    <x v="6"/>
    <s v="Holmes Odor Grabber"/>
    <n v="4326"/>
  </r>
  <r>
    <s v="CA-2018-122994"/>
    <x v="695"/>
    <d v="2018-02-09T00:00:00"/>
    <d v="2018-02-01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97"/>
  </r>
  <r>
    <s v="CA-2017-131065"/>
    <x v="696"/>
    <d v="2017-11-16T00:00:00"/>
    <d v="2017-11-01T00:00:00"/>
    <s v="Second Class"/>
    <s v="AA-10375"/>
    <s v="Allen Armold"/>
    <x v="0"/>
    <s v="United States"/>
    <s v="Atlanta"/>
    <s v="Georgia"/>
    <n v="30318"/>
    <x v="0"/>
    <s v="TEC-AC-10004145"/>
    <x v="2"/>
    <x v="12"/>
    <s v="Logitech diNovo Edge Keyboard"/>
    <n v="49998"/>
  </r>
  <r>
    <s v="CA-2018-137470"/>
    <x v="697"/>
    <d v="2018-09-17T00:00:00"/>
    <d v="2018-09-01T00:00:00"/>
    <s v="Same Day"/>
    <s v="TP-21415"/>
    <s v="Tom Prescott"/>
    <x v="0"/>
    <s v="United States"/>
    <s v="Seattle"/>
    <s v="Washington"/>
    <n v="98115"/>
    <x v="1"/>
    <s v="OFF-PA-10002001"/>
    <x v="1"/>
    <x v="4"/>
    <s v="Xerox 1984"/>
    <n v="1296"/>
  </r>
  <r>
    <s v="CA-2018-105480"/>
    <x v="698"/>
    <d v="2018-12-26T00:00:00"/>
    <d v="2018-12-01T00:00:00"/>
    <s v="Standard Class"/>
    <s v="DK-13225"/>
    <s v="Dean Katz"/>
    <x v="1"/>
    <s v="United States"/>
    <s v="Rochester"/>
    <s v="New York"/>
    <n v="14609"/>
    <x v="3"/>
    <s v="OFF-PA-10002787"/>
    <x v="1"/>
    <x v="4"/>
    <s v="Xerox 227"/>
    <n v="648"/>
  </r>
  <r>
    <s v="CA-2016-142944"/>
    <x v="699"/>
    <d v="2016-03-11T00:00:00"/>
    <d v="2016-03-01T00:00:00"/>
    <s v="Standard Class"/>
    <s v="JL-15850"/>
    <s v="John Lucas"/>
    <x v="0"/>
    <s v="United States"/>
    <s v="San Francisco"/>
    <s v="California"/>
    <n v="94122"/>
    <x v="1"/>
    <s v="FUR-FU-10000308"/>
    <x v="0"/>
    <x v="3"/>
    <s v="Deflect-o Glass Clear Studded Chair Mats"/>
    <n v="43526"/>
  </r>
  <r>
    <s v="CA-2015-104283"/>
    <x v="700"/>
    <d v="2015-07-01T00:00:00"/>
    <d v="2015-06-01T00:00:00"/>
    <s v="Standard Class"/>
    <s v="LM-17065"/>
    <s v="Liz MacKendrick"/>
    <x v="0"/>
    <s v="United States"/>
    <s v="Southaven"/>
    <s v="Mississippi"/>
    <n v="38671"/>
    <x v="0"/>
    <s v="OFF-ST-10004337"/>
    <x v="1"/>
    <x v="7"/>
    <s v="SAFCO Commercial Wire Shelving, 72h"/>
    <n v="3062"/>
  </r>
  <r>
    <s v="CA-2018-165687"/>
    <x v="701"/>
    <d v="2018-11-23T00:00:00"/>
    <d v="2018-11-01T00:00:00"/>
    <s v="Standard Class"/>
    <s v="CS-12355"/>
    <s v="Christine Sundaresam"/>
    <x v="0"/>
    <s v="United States"/>
    <s v="Salem"/>
    <s v="Virginia"/>
    <n v="24153"/>
    <x v="0"/>
    <s v="OFF-AP-10004036"/>
    <x v="1"/>
    <x v="6"/>
    <s v="Bionaire 99.97% HEPA Air Cleaner"/>
    <n v="3504"/>
  </r>
  <r>
    <s v="US-2018-112928"/>
    <x v="702"/>
    <d v="2018-06-05T00:00:00"/>
    <d v="2018-06-01T00:00:00"/>
    <s v="Second Class"/>
    <s v="BB-10990"/>
    <s v="Barry Blumstein"/>
    <x v="1"/>
    <s v="United States"/>
    <s v="Toledo"/>
    <s v="Ohio"/>
    <n v="43615"/>
    <x v="3"/>
    <s v="OFF-AP-10002287"/>
    <x v="1"/>
    <x v="6"/>
    <s v="Eureka Sanitaire  Multi-Pro Heavy-Duty Upright, Disposable Bags"/>
    <n v="1748"/>
  </r>
  <r>
    <s v="CA-2018-115154"/>
    <x v="703"/>
    <d v="2018-01-11T00:00:00"/>
    <d v="2018-01-01T00:00:00"/>
    <s v="First Class"/>
    <s v="RS-19420"/>
    <s v="Ricardo Sperren"/>
    <x v="1"/>
    <s v="United States"/>
    <s v="Seattle"/>
    <s v="Washington"/>
    <n v="98115"/>
    <x v="1"/>
    <s v="FUR-TA-10001950"/>
    <x v="0"/>
    <x v="2"/>
    <s v="Balt Solid Wood Round Tables"/>
    <n v="89298"/>
  </r>
  <r>
    <s v="CA-2016-149342"/>
    <x v="704"/>
    <d v="2016-04-25T00:00:00"/>
    <d v="2016-04-01T00:00:00"/>
    <s v="Standard Class"/>
    <s v="TS-21160"/>
    <s v="Theresa Swint"/>
    <x v="1"/>
    <s v="United States"/>
    <s v="Columbus"/>
    <s v="Georgia"/>
    <n v="31907"/>
    <x v="0"/>
    <s v="TEC-PH-10001557"/>
    <x v="2"/>
    <x v="10"/>
    <s v="Pyle PMP37LED"/>
    <n v="28797"/>
  </r>
  <r>
    <s v="CA-2016-160794"/>
    <x v="705"/>
    <d v="2016-08-08T00:00:00"/>
    <d v="2016-08-01T00:00:00"/>
    <s v="First Class"/>
    <s v="MS-17980"/>
    <s v="Michael Stewart"/>
    <x v="1"/>
    <s v="United States"/>
    <s v="Houston"/>
    <s v="Texas"/>
    <n v="77041"/>
    <x v="2"/>
    <s v="OFF-PA-10004156"/>
    <x v="1"/>
    <x v="4"/>
    <s v="Xerox 188"/>
    <n v="27216"/>
  </r>
  <r>
    <s v="CA-2016-117828"/>
    <x v="706"/>
    <d v="2016-12-26T00:00:00"/>
    <d v="2016-12-01T00:00:00"/>
    <s v="First Class"/>
    <s v="BD-11500"/>
    <s v="Bradley Drucker"/>
    <x v="0"/>
    <s v="United States"/>
    <s v="Richmond"/>
    <s v="Virginia"/>
    <n v="23223"/>
    <x v="0"/>
    <s v="OFF-AP-10001563"/>
    <x v="1"/>
    <x v="6"/>
    <s v="Belkin Premiere Surge Master II 8-outlet surge protector"/>
    <n v="19432"/>
  </r>
  <r>
    <s v="US-2016-147739"/>
    <x v="707"/>
    <d v="2016-12-29T00:00:00"/>
    <d v="2016-12-01T00:00:00"/>
    <s v="Standard Class"/>
    <s v="JD-16150"/>
    <s v="Justin Deggeller"/>
    <x v="1"/>
    <s v="United States"/>
    <s v="Philadelphia"/>
    <s v="Pennsylvania"/>
    <n v="19140"/>
    <x v="3"/>
    <s v="FUR-FU-10001468"/>
    <x v="0"/>
    <x v="3"/>
    <s v="Tenex Antistatic Computer Chair Mats"/>
    <n v="547136"/>
  </r>
  <r>
    <s v="CA-2018-169285"/>
    <x v="708"/>
    <d v="2018-03-25T00:00:00"/>
    <d v="2018-03-01T00:00:00"/>
    <s v="Standard Class"/>
    <s v="RW-19690"/>
    <s v="Robert Waldorf"/>
    <x v="0"/>
    <s v="United States"/>
    <s v="Lafayette"/>
    <s v="Indiana"/>
    <n v="47905"/>
    <x v="2"/>
    <s v="OFF-PA-10004071"/>
    <x v="1"/>
    <x v="4"/>
    <s v="Eaton Premium Continuous-Feed Paper, 25% Cotton, Letter Size, White, 1000 Shts/Box"/>
    <n v="2774"/>
  </r>
  <r>
    <s v="CA-2015-110639"/>
    <x v="709"/>
    <d v="2015-08-23T00:00:00"/>
    <d v="2015-08-01T00:00:00"/>
    <s v="Same Day"/>
    <s v="RH-19495"/>
    <s v="Rick Hansen"/>
    <x v="0"/>
    <s v="United States"/>
    <s v="New York City"/>
    <s v="New York"/>
    <n v="10009"/>
    <x v="3"/>
    <s v="OFF-PA-10003936"/>
    <x v="1"/>
    <x v="4"/>
    <s v="Xerox 1994"/>
    <n v="2592"/>
  </r>
  <r>
    <s v="CA-2015-121727"/>
    <x v="710"/>
    <d v="2015-08-24T00:00:00"/>
    <d v="2015-08-01T00:00:00"/>
    <s v="Standard Class"/>
    <s v="JK-15625"/>
    <s v="Jim Karlsson"/>
    <x v="0"/>
    <s v="United States"/>
    <s v="Columbus"/>
    <s v="Ohio"/>
    <n v="43229"/>
    <x v="3"/>
    <s v="OFF-AR-10004930"/>
    <x v="1"/>
    <x v="8"/>
    <s v="Turquoise Lead Holder with Pocket Clip"/>
    <n v="1072"/>
  </r>
  <r>
    <s v="US-2015-155894"/>
    <x v="711"/>
    <d v="2015-07-30T00:00:00"/>
    <d v="2015-07-01T00:00:00"/>
    <s v="Second Class"/>
    <s v="CL-11890"/>
    <s v="Carl Ludwig"/>
    <x v="0"/>
    <s v="United States"/>
    <s v="Chicago"/>
    <s v="Illinois"/>
    <n v="60623"/>
    <x v="2"/>
    <s v="OFF-ST-10004804"/>
    <x v="1"/>
    <x v="7"/>
    <s v="Belkin 19&quot; Vented Equipment Shelf, Black"/>
    <n v="123552"/>
  </r>
  <r>
    <s v="CA-2017-119025"/>
    <x v="712"/>
    <d v="2017-02-28T00:00:00"/>
    <d v="2017-02-01T00:00:00"/>
    <s v="Standard Class"/>
    <s v="PV-18985"/>
    <s v="Paul Van Hugh"/>
    <x v="2"/>
    <s v="United States"/>
    <s v="Milwaukee"/>
    <s v="Wisconsin"/>
    <n v="53209"/>
    <x v="2"/>
    <s v="OFF-AP-10001205"/>
    <x v="1"/>
    <x v="6"/>
    <s v="Belkin 5 Outlet SurgeMaster Power Centers"/>
    <n v="49032"/>
  </r>
  <r>
    <s v="US-2017-129469"/>
    <x v="713"/>
    <d v="2017-09-27T00:00:00"/>
    <d v="2017-09-01T00:00:00"/>
    <s v="Standard Class"/>
    <s v="KL-16555"/>
    <s v="Kelly Lampkin"/>
    <x v="1"/>
    <s v="United States"/>
    <s v="Fairfield"/>
    <s v="Ohio"/>
    <n v="45014"/>
    <x v="3"/>
    <s v="FUR-FU-10002298"/>
    <x v="0"/>
    <x v="3"/>
    <s v="Rubbermaid ClusterMat Chairmats, Mat Size- 66&quot; x 60&quot;, Lip 20&quot; x 11&quot; -90 Degree Angle"/>
    <n v="532704"/>
  </r>
  <r>
    <s v="CA-2018-119669"/>
    <x v="714"/>
    <d v="2018-01-30T00:00:00"/>
    <d v="2018-01-01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67"/>
  </r>
  <r>
    <s v="CA-2017-118052"/>
    <x v="715"/>
    <d v="2017-05-10T00:00:00"/>
    <d v="2017-05-01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216"/>
  </r>
  <r>
    <s v="CA-2017-128111"/>
    <x v="716"/>
    <d v="2017-03-23T00:00:00"/>
    <d v="2017-03-01T00:00:00"/>
    <s v="Standard Class"/>
    <s v="CS-12355"/>
    <s v="Christine Sundaresam"/>
    <x v="0"/>
    <s v="United States"/>
    <s v="Malden"/>
    <s v="Massachusetts"/>
    <n v="2148"/>
    <x v="3"/>
    <s v="OFF-AR-10000588"/>
    <x v="1"/>
    <x v="8"/>
    <s v="Newell 345"/>
    <n v="3968"/>
  </r>
  <r>
    <s v="CA-2016-137897"/>
    <x v="717"/>
    <d v="2016-11-19T00:00:00"/>
    <d v="2016-11-01T00:00:00"/>
    <s v="Standard Class"/>
    <s v="PJ-18835"/>
    <s v="Patrick Jones"/>
    <x v="1"/>
    <s v="United States"/>
    <s v="New York City"/>
    <s v="New York"/>
    <n v="10035"/>
    <x v="3"/>
    <s v="TEC-AC-10002217"/>
    <x v="2"/>
    <x v="12"/>
    <s v="Imation Clip USB flash drive - 8 GB"/>
    <n v="376"/>
  </r>
  <r>
    <s v="CA-2018-169264"/>
    <x v="718"/>
    <d v="2018-08-16T00:00:00"/>
    <d v="2018-08-01T00:00:00"/>
    <s v="Second Class"/>
    <s v="NP-18700"/>
    <s v="Nora Preis"/>
    <x v="0"/>
    <s v="United States"/>
    <s v="San Francisco"/>
    <s v="California"/>
    <n v="94109"/>
    <x v="1"/>
    <s v="OFF-LA-10001613"/>
    <x v="1"/>
    <x v="1"/>
    <s v="Avery File Folder Labels"/>
    <n v="576"/>
  </r>
  <r>
    <s v="CA-2018-145877"/>
    <x v="719"/>
    <d v="2018-04-04T00:00:00"/>
    <d v="2018-04-01T00:00:00"/>
    <s v="Second Class"/>
    <s v="AS-10090"/>
    <s v="Adam Shillingsburg"/>
    <x v="0"/>
    <s v="United States"/>
    <s v="Springfield"/>
    <s v="Missouri"/>
    <n v="65807"/>
    <x v="2"/>
    <s v="OFF-ST-10000649"/>
    <x v="1"/>
    <x v="7"/>
    <s v="Hanging Personal Folder File"/>
    <n v="942"/>
  </r>
  <r>
    <s v="US-2017-110170"/>
    <x v="720"/>
    <d v="2017-10-03T00:00:00"/>
    <d v="2017-09-01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6648"/>
  </r>
  <r>
    <s v="CA-2018-155985"/>
    <x v="721"/>
    <d v="2018-03-25T00:00:00"/>
    <d v="2018-03-01T00:00:00"/>
    <s v="First Class"/>
    <s v="BE-11335"/>
    <s v="Bill Eplett"/>
    <x v="2"/>
    <s v="United States"/>
    <s v="San Francisco"/>
    <s v="California"/>
    <n v="94122"/>
    <x v="1"/>
    <s v="FUR-FU-10000758"/>
    <x v="0"/>
    <x v="3"/>
    <s v="DAX Natural Wood-Tone Poster Frame"/>
    <n v="21184"/>
  </r>
  <r>
    <s v="CA-2016-142041"/>
    <x v="722"/>
    <d v="2016-06-09T00:00:00"/>
    <d v="2016-06-01T00:00:00"/>
    <s v="Second Class"/>
    <s v="EM-13810"/>
    <s v="Eleni McCrary"/>
    <x v="1"/>
    <s v="United States"/>
    <s v="Los Angeles"/>
    <s v="California"/>
    <n v="90036"/>
    <x v="1"/>
    <s v="OFF-BI-10004187"/>
    <x v="1"/>
    <x v="5"/>
    <s v="3-ring staple pack"/>
    <n v="752"/>
  </r>
  <r>
    <s v="CA-2017-156300"/>
    <x v="723"/>
    <d v="2018-01-02T00:00:00"/>
    <d v="2017-12-01T00:00:00"/>
    <s v="Standard Class"/>
    <s v="TB-21595"/>
    <s v="Troy Blackwell"/>
    <x v="0"/>
    <s v="United States"/>
    <s v="Milwaukee"/>
    <s v="Wisconsin"/>
    <n v="53209"/>
    <x v="2"/>
    <s v="FUR-CH-10001714"/>
    <x v="0"/>
    <x v="9"/>
    <s v="Global Leather &amp; Oak Executive Chair, Burgundy"/>
    <n v="75445"/>
  </r>
  <r>
    <s v="CA-2017-155551"/>
    <x v="724"/>
    <d v="2017-04-23T00:00:00"/>
    <d v="2017-04-01T00:00:00"/>
    <s v="Standard Class"/>
    <s v="CR-12580"/>
    <s v="Clay Rozendal"/>
    <x v="2"/>
    <s v="United States"/>
    <s v="Elmhurst"/>
    <s v="Illinois"/>
    <n v="60126"/>
    <x v="2"/>
    <s v="OFF-ST-10003656"/>
    <x v="1"/>
    <x v="7"/>
    <s v="Safco Industrial Wire Shelving"/>
    <n v="230376"/>
  </r>
  <r>
    <s v="CA-2017-169922"/>
    <x v="725"/>
    <d v="2017-06-17T00:00:00"/>
    <d v="2017-06-01T00:00:00"/>
    <s v="Standard Class"/>
    <s v="MZ-17515"/>
    <s v="Mary Zewe"/>
    <x v="1"/>
    <s v="United States"/>
    <s v="Arlington"/>
    <s v="Texas"/>
    <n v="76017"/>
    <x v="2"/>
    <s v="OFF-BI-10003784"/>
    <x v="1"/>
    <x v="5"/>
    <s v="Computer Printout Index Tabs"/>
    <n v="1344"/>
  </r>
  <r>
    <s v="CA-2018-100748"/>
    <x v="726"/>
    <d v="2018-05-20T00:00:00"/>
    <d v="2018-05-01T00:00:00"/>
    <s v="Standard Class"/>
    <s v="RB-19795"/>
    <s v="Ross Baird"/>
    <x v="2"/>
    <s v="United States"/>
    <s v="San Francisco"/>
    <s v="California"/>
    <n v="94110"/>
    <x v="1"/>
    <s v="OFF-LA-10000240"/>
    <x v="1"/>
    <x v="1"/>
    <s v="Self-Adhesive Address Labels for Typewriters by Universal"/>
    <n v="5848"/>
  </r>
  <r>
    <s v="CA-2015-148586"/>
    <x v="727"/>
    <d v="2015-04-01T00:00:00"/>
    <d v="2015-03-01T00:00:00"/>
    <s v="Standard Class"/>
    <s v="AZ-10750"/>
    <s v="Annie Zypern"/>
    <x v="0"/>
    <s v="United States"/>
    <s v="New York City"/>
    <s v="New York"/>
    <n v="10009"/>
    <x v="3"/>
    <s v="FUR-CH-10002439"/>
    <x v="0"/>
    <x v="9"/>
    <s v="Iceberg Nesting Folding Chair, 19w x 6d x 43h"/>
    <n v="366786"/>
  </r>
  <r>
    <s v="CA-2015-164210"/>
    <x v="728"/>
    <d v="2015-11-20T00:00:00"/>
    <d v="2015-11-01T00:00:00"/>
    <s v="Second Class"/>
    <s v="PW-19240"/>
    <s v="Pierre Wener"/>
    <x v="0"/>
    <s v="United States"/>
    <s v="Louisville"/>
    <s v="Colorado"/>
    <n v="80027"/>
    <x v="1"/>
    <s v="FUR-TA-10000849"/>
    <x v="0"/>
    <x v="2"/>
    <s v="Bevis Rectangular Conference Tables"/>
    <n v="14598"/>
  </r>
  <r>
    <s v="CA-2018-139948"/>
    <x v="729"/>
    <d v="2018-07-22T00:00:00"/>
    <d v="2018-07-01T00:00:00"/>
    <s v="Standard Class"/>
    <s v="SW-20455"/>
    <s v="Shaun Weien"/>
    <x v="0"/>
    <s v="United States"/>
    <s v="Tampa"/>
    <s v="Florida"/>
    <n v="33614"/>
    <x v="0"/>
    <s v="FUR-FU-10002597"/>
    <x v="0"/>
    <x v="3"/>
    <s v="C-Line Magnetic Cubicle Keepers, Clear Polypropylene"/>
    <n v="7904"/>
  </r>
  <r>
    <s v="CA-2017-146934"/>
    <x v="730"/>
    <d v="2017-05-27T00:00:00"/>
    <d v="2017-05-01T00:00:00"/>
    <s v="Standard Class"/>
    <s v="AF-10870"/>
    <s v="Art Ferguson"/>
    <x v="0"/>
    <s v="United States"/>
    <s v="Passaic"/>
    <s v="New Jersey"/>
    <n v="7055"/>
    <x v="3"/>
    <s v="TEC-PH-10004614"/>
    <x v="2"/>
    <x v="10"/>
    <s v="AT&amp;T 841000 Phone"/>
    <n v="345"/>
  </r>
  <r>
    <s v="CA-2017-119165"/>
    <x v="731"/>
    <d v="2017-11-06T00:00:00"/>
    <d v="2017-10-01T00:00:00"/>
    <s v="Standard Class"/>
    <s v="BD-11320"/>
    <s v="Bill Donatelli"/>
    <x v="0"/>
    <s v="United States"/>
    <s v="Philadelphia"/>
    <s v="Pennsylvania"/>
    <n v="19143"/>
    <x v="3"/>
    <s v="FUR-CH-10000988"/>
    <x v="0"/>
    <x v="9"/>
    <s v="Hon Olson Stacker Stools"/>
    <n v="492835"/>
  </r>
  <r>
    <s v="CA-2017-140207"/>
    <x v="732"/>
    <d v="2017-11-10T00:00:00"/>
    <d v="2017-11-01T00:00:00"/>
    <s v="Standard Class"/>
    <s v="CS-12400"/>
    <s v="Christopher Schild"/>
    <x v="2"/>
    <s v="United States"/>
    <s v="San Jose"/>
    <s v="California"/>
    <n v="95123"/>
    <x v="1"/>
    <s v="OFF-BI-10003963"/>
    <x v="1"/>
    <x v="5"/>
    <s v="Cardinal Holdit Data Disk Pockets"/>
    <n v="2912"/>
  </r>
  <r>
    <s v="CA-2018-138548"/>
    <x v="733"/>
    <d v="2018-08-21T00:00:00"/>
    <d v="2018-08-01T00:00:00"/>
    <s v="Standard Class"/>
    <s v="JG-15160"/>
    <s v="James Galang"/>
    <x v="0"/>
    <s v="United States"/>
    <s v="Plainfield"/>
    <s v="New Jersey"/>
    <n v="7060"/>
    <x v="3"/>
    <s v="OFF-AP-10002578"/>
    <x v="1"/>
    <x v="6"/>
    <s v="Fellowes Premier Superior Surge Suppressor, 10-Outlet, With Phone and Remote"/>
    <n v="9784"/>
  </r>
  <r>
    <s v="CA-2018-148691"/>
    <x v="734"/>
    <d v="2018-12-09T00:00:00"/>
    <d v="2018-12-01T00:00:00"/>
    <s v="Standard Class"/>
    <s v="CS-12460"/>
    <s v="Chuck Sachs"/>
    <x v="0"/>
    <s v="United States"/>
    <s v="New York City"/>
    <s v="New York"/>
    <n v="10009"/>
    <x v="3"/>
    <s v="OFF-BI-10001524"/>
    <x v="1"/>
    <x v="5"/>
    <s v="GBC Premium Transparent Covers with Diagonal Lined Pattern"/>
    <n v="8392"/>
  </r>
  <r>
    <s v="CA-2018-126067"/>
    <x v="735"/>
    <d v="2018-09-03T00:00:00"/>
    <d v="2018-08-01T00:00:00"/>
    <s v="Standard Class"/>
    <s v="KN-16705"/>
    <s v="Kristina Nunn"/>
    <x v="2"/>
    <s v="United States"/>
    <s v="Seattle"/>
    <s v="Washington"/>
    <n v="98105"/>
    <x v="1"/>
    <s v="TEC-PH-10000912"/>
    <x v="2"/>
    <x v="10"/>
    <s v="Anker 24W Portable Micro USB Car Charger"/>
    <n v="35168"/>
  </r>
  <r>
    <s v="CA-2015-113579"/>
    <x v="736"/>
    <d v="2015-12-15T00:00:00"/>
    <d v="2015-12-01T00:00:00"/>
    <s v="Second Class"/>
    <s v="KD-16345"/>
    <s v="Katherine Ducich"/>
    <x v="0"/>
    <s v="United States"/>
    <s v="Los Angeles"/>
    <s v="California"/>
    <n v="90049"/>
    <x v="1"/>
    <s v="OFF-PA-10001457"/>
    <x v="1"/>
    <x v="4"/>
    <s v="White GlueTop Scratch Pads"/>
    <n v="9024"/>
  </r>
  <r>
    <s v="CA-2015-136644"/>
    <x v="737"/>
    <d v="2015-06-22T00:00:00"/>
    <d v="2015-06-01T00:00:00"/>
    <s v="Standard Class"/>
    <s v="SC-20575"/>
    <s v="Sonia Cooley"/>
    <x v="0"/>
    <s v="United States"/>
    <s v="Mishawaka"/>
    <s v="Indiana"/>
    <n v="46544"/>
    <x v="2"/>
    <s v="FUR-CH-10000225"/>
    <x v="0"/>
    <x v="9"/>
    <s v="Global Geo Office Task Chair, Gray"/>
    <n v="64784"/>
  </r>
  <r>
    <s v="US-2018-133781"/>
    <x v="738"/>
    <d v="2018-06-23T00:00:00"/>
    <d v="2018-06-01T00:00:00"/>
    <s v="First Class"/>
    <s v="DC-12850"/>
    <s v="Dan Campbell"/>
    <x v="0"/>
    <s v="United States"/>
    <s v="Miami"/>
    <s v="Florida"/>
    <n v="33178"/>
    <x v="0"/>
    <s v="OFF-EN-10004483"/>
    <x v="1"/>
    <x v="11"/>
    <s v="#10 White Business Envelopes,4 1/8 x 9 1/2"/>
    <n v="37608"/>
  </r>
  <r>
    <s v="CA-2015-143917"/>
    <x v="739"/>
    <d v="2015-07-27T00:00:00"/>
    <d v="2015-07-01T00:00:00"/>
    <s v="Second Class"/>
    <s v="KL-16645"/>
    <s v="Ken Lonsdale"/>
    <x v="0"/>
    <s v="United States"/>
    <s v="San Francisco"/>
    <s v="California"/>
    <n v="94122"/>
    <x v="1"/>
    <s v="OFF-ST-10001228"/>
    <x v="1"/>
    <x v="7"/>
    <s v="Fellowes Personal Hanging Folder Files, Navy"/>
    <n v="5372"/>
  </r>
  <r>
    <s v="CA-2016-120397"/>
    <x v="740"/>
    <d v="2016-07-02T00:00:00"/>
    <d v="2016-07-01T00:00:00"/>
    <s v="Same Day"/>
    <s v="RB-19435"/>
    <s v="Richard Bierner"/>
    <x v="0"/>
    <s v="United States"/>
    <s v="Houston"/>
    <s v="Texas"/>
    <n v="77070"/>
    <x v="2"/>
    <s v="OFF-AP-10001293"/>
    <x v="1"/>
    <x v="6"/>
    <s v="Belkin 8 Outlet Surge Protector"/>
    <n v="32784"/>
  </r>
  <r>
    <s v="CA-2017-136812"/>
    <x v="741"/>
    <d v="2017-11-23T00:00:00"/>
    <d v="2017-11-01T00:00:00"/>
    <s v="Standard Class"/>
    <s v="AW-10930"/>
    <s v="Arthur Wiediger"/>
    <x v="2"/>
    <s v="United States"/>
    <s v="Oklahoma City"/>
    <s v="Oklahoma"/>
    <n v="73120"/>
    <x v="2"/>
    <s v="OFF-ST-10003470"/>
    <x v="1"/>
    <x v="7"/>
    <s v="Tennsco Snap-Together Open Shelving Units, Starter Sets and Add-On Units"/>
    <n v="111792"/>
  </r>
  <r>
    <s v="CA-2015-106572"/>
    <x v="742"/>
    <d v="2015-09-10T00:00:00"/>
    <d v="2015-09-01T00:00:00"/>
    <s v="Standard Class"/>
    <s v="NP-18700"/>
    <s v="Nora Preis"/>
    <x v="0"/>
    <s v="United States"/>
    <s v="Bowling Green"/>
    <s v="Ohio"/>
    <n v="43402"/>
    <x v="3"/>
    <s v="OFF-ST-10000585"/>
    <x v="1"/>
    <x v="7"/>
    <s v="Economy Rollaway Files"/>
    <n v="26432"/>
  </r>
  <r>
    <s v="CA-2018-123134"/>
    <x v="743"/>
    <d v="2018-05-07T00:00:00"/>
    <d v="2018-05-01T00:00:00"/>
    <s v="Standard Class"/>
    <s v="DW-13585"/>
    <s v="Dorothy Wardle"/>
    <x v="1"/>
    <s v="United States"/>
    <s v="Westfield"/>
    <s v="New Jersey"/>
    <n v="7090"/>
    <x v="3"/>
    <s v="FUR-FU-10003975"/>
    <x v="0"/>
    <x v="3"/>
    <s v="Eldon Advantage Chair Mats for Low to Medium Pile Carpets"/>
    <n v="12993"/>
  </r>
  <r>
    <s v="CA-2016-124541"/>
    <x v="744"/>
    <d v="2016-04-10T00:00:00"/>
    <d v="2016-04-01T00:00:00"/>
    <s v="Standard Class"/>
    <s v="TT-21220"/>
    <s v="Thomas Thornton"/>
    <x v="0"/>
    <s v="United States"/>
    <s v="Houston"/>
    <s v="Texas"/>
    <n v="77041"/>
    <x v="2"/>
    <s v="OFF-AR-10004078"/>
    <x v="1"/>
    <x v="8"/>
    <s v="Newell 312"/>
    <n v="42048"/>
  </r>
  <r>
    <s v="CA-2015-108707"/>
    <x v="745"/>
    <d v="2015-10-29T00:00:00"/>
    <d v="2015-10-01T00:00:00"/>
    <s v="Standard Class"/>
    <s v="DB-12910"/>
    <s v="Daniel Byrd"/>
    <x v="2"/>
    <s v="United States"/>
    <s v="Fort Lauderdale"/>
    <s v="Florida"/>
    <n v="33311"/>
    <x v="0"/>
    <s v="OFF-PA-10000788"/>
    <x v="1"/>
    <x v="4"/>
    <s v="Xerox 210"/>
    <n v="10368"/>
  </r>
  <r>
    <s v="CA-2016-168746"/>
    <x v="746"/>
    <d v="2016-01-29T00:00:00"/>
    <d v="2016-01-01T00:00:00"/>
    <s v="Second Class"/>
    <s v="SV-20365"/>
    <s v="Seth Vernon"/>
    <x v="0"/>
    <s v="United States"/>
    <s v="Cleveland"/>
    <s v="Ohio"/>
    <n v="44105"/>
    <x v="3"/>
    <s v="FUR-CH-10000513"/>
    <x v="0"/>
    <x v="9"/>
    <s v="High-Back Leather Manager's Chair"/>
    <n v="181986"/>
  </r>
  <r>
    <s v="CA-2016-113404"/>
    <x v="747"/>
    <d v="2016-07-16T00:00:00"/>
    <d v="2016-07-01T00:00:00"/>
    <s v="Same Day"/>
    <s v="EM-13810"/>
    <s v="Eleni McCrary"/>
    <x v="1"/>
    <s v="United States"/>
    <s v="San Francisco"/>
    <s v="California"/>
    <n v="94122"/>
    <x v="1"/>
    <s v="FUR-CH-10003312"/>
    <x v="0"/>
    <x v="9"/>
    <s v="Hon 2090 “Pillow Soft” Series Mid Back Swivel/Tilt Chairs"/>
    <n v="1348704"/>
  </r>
  <r>
    <s v="US-2016-128090"/>
    <x v="748"/>
    <d v="2016-08-22T00:00:00"/>
    <d v="2016-08-01T00:00:00"/>
    <s v="Standard Class"/>
    <s v="JM-15865"/>
    <s v="John Murray"/>
    <x v="0"/>
    <s v="United States"/>
    <s v="Phoenix"/>
    <s v="Arizona"/>
    <n v="85023"/>
    <x v="1"/>
    <s v="OFF-AR-10002255"/>
    <x v="1"/>
    <x v="8"/>
    <s v="Newell 346"/>
    <n v="2304"/>
  </r>
  <r>
    <s v="CA-2017-155439"/>
    <x v="749"/>
    <d v="2017-09-18T00:00:00"/>
    <d v="2017-09-01T00:00:00"/>
    <s v="Standard Class"/>
    <s v="PN-18775"/>
    <s v="Parhena Norris"/>
    <x v="2"/>
    <s v="United States"/>
    <s v="Columbia"/>
    <s v="South Carolina"/>
    <n v="29203"/>
    <x v="0"/>
    <s v="OFF-PA-10000029"/>
    <x v="1"/>
    <x v="4"/>
    <s v="Xerox 224"/>
    <n v="2592"/>
  </r>
  <r>
    <s v="US-2017-126844"/>
    <x v="750"/>
    <d v="2017-10-14T00:00:00"/>
    <d v="2017-10-01T00:00:00"/>
    <s v="Standard Class"/>
    <s v="BW-11110"/>
    <s v="Bart Watters"/>
    <x v="1"/>
    <s v="United States"/>
    <s v="Houston"/>
    <s v="Texas"/>
    <n v="77070"/>
    <x v="2"/>
    <s v="FUR-FU-10004909"/>
    <x v="0"/>
    <x v="3"/>
    <s v="Contemporary Wood/Metal Frame"/>
    <n v="51712"/>
  </r>
  <r>
    <s v="CA-2016-110632"/>
    <x v="751"/>
    <d v="2016-03-22T00:00:00"/>
    <d v="2016-03-01T00:00:00"/>
    <s v="Second Class"/>
    <s v="HR-14830"/>
    <s v="Harold Ryan"/>
    <x v="1"/>
    <s v="United States"/>
    <s v="New York City"/>
    <s v="New York"/>
    <n v="10009"/>
    <x v="3"/>
    <s v="TEC-AC-10000387"/>
    <x v="2"/>
    <x v="12"/>
    <s v="KeyTronic KT800P2 - Keyboard - Black"/>
    <n v="1502"/>
  </r>
  <r>
    <s v="CA-2018-123967"/>
    <x v="752"/>
    <d v="2018-11-03T00:00:00"/>
    <d v="2018-11-01T00:00:00"/>
    <s v="Second Class"/>
    <s v="SF-20200"/>
    <s v="Sarah Foster"/>
    <x v="0"/>
    <s v="United States"/>
    <s v="Bellingham"/>
    <s v="Washington"/>
    <n v="98226"/>
    <x v="1"/>
    <s v="OFF-BI-10001308"/>
    <x v="1"/>
    <x v="5"/>
    <s v="GBC Standard Plastic Binding Systems' Combs"/>
    <n v="2512"/>
  </r>
  <r>
    <s v="CA-2018-134404"/>
    <x v="753"/>
    <d v="2018-12-27T00:00:00"/>
    <d v="2018-12-01T00:00:00"/>
    <s v="Same Day"/>
    <s v="DR-12880"/>
    <s v="Dan Reichenbach"/>
    <x v="1"/>
    <s v="United States"/>
    <s v="Newark"/>
    <s v="Ohio"/>
    <n v="43055"/>
    <x v="3"/>
    <s v="TEC-PH-10000576"/>
    <x v="2"/>
    <x v="10"/>
    <s v="AT&amp;T 1080 Corded phone"/>
    <n v="164388"/>
  </r>
  <r>
    <s v="CA-2015-129091"/>
    <x v="754"/>
    <d v="2015-11-27T00:00:00"/>
    <d v="2015-11-01T00:00:00"/>
    <s v="Standard Class"/>
    <s v="RA-19885"/>
    <s v="Ruben Ausman"/>
    <x v="1"/>
    <s v="United States"/>
    <s v="Columbus"/>
    <s v="Georgia"/>
    <n v="31907"/>
    <x v="0"/>
    <s v="OFF-EN-10004955"/>
    <x v="1"/>
    <x v="11"/>
    <s v="Fashion Color Clasp Envelopes"/>
    <n v="1623"/>
  </r>
  <r>
    <s v="US-2015-155502"/>
    <x v="755"/>
    <d v="2015-01-31T00:00:00"/>
    <d v="2015-01-01T00:00:00"/>
    <s v="Standard Class"/>
    <s v="SD-20485"/>
    <s v="Shirley Daniels"/>
    <x v="2"/>
    <s v="United States"/>
    <s v="Alexandria"/>
    <s v="Virginia"/>
    <n v="22304"/>
    <x v="0"/>
    <s v="FUR-FU-10004587"/>
    <x v="0"/>
    <x v="3"/>
    <s v="GE General Use Halogen Bulbs, 100 Watts, 1 Bulb per Pack"/>
    <n v="6282"/>
  </r>
  <r>
    <s v="CA-2018-108553"/>
    <x v="756"/>
    <d v="2018-04-29T00:00:00"/>
    <d v="2018-04-01T00:00:00"/>
    <s v="Standard Class"/>
    <s v="SK-19990"/>
    <s v="Sally Knutson"/>
    <x v="0"/>
    <s v="United States"/>
    <s v="New York City"/>
    <s v="New York"/>
    <n v="10024"/>
    <x v="3"/>
    <s v="OFF-AP-10000026"/>
    <x v="1"/>
    <x v="6"/>
    <s v="Tripp Lite Isotel 6 Outlet Surge Protector with Fax/Modem Protection"/>
    <n v="12194"/>
  </r>
  <r>
    <s v="CA-2015-112718"/>
    <x v="757"/>
    <d v="2015-12-21T00:00:00"/>
    <d v="2015-12-01T00:00:00"/>
    <s v="Standard Class"/>
    <s v="KN-16450"/>
    <s v="Kean Nguyen"/>
    <x v="1"/>
    <s v="United States"/>
    <s v="Jacksonville"/>
    <s v="Florida"/>
    <n v="32216"/>
    <x v="0"/>
    <s v="OFF-BI-10000591"/>
    <x v="1"/>
    <x v="5"/>
    <s v="Avery Binder Labels"/>
    <n v="1167"/>
  </r>
  <r>
    <s v="CA-2017-154053"/>
    <x v="758"/>
    <d v="2017-03-10T00:00:00"/>
    <d v="2017-03-01T00:00:00"/>
    <s v="Standard Class"/>
    <s v="MG-17890"/>
    <s v="Michael Granlund"/>
    <x v="2"/>
    <s v="United States"/>
    <s v="San Diego"/>
    <s v="California"/>
    <n v="92024"/>
    <x v="1"/>
    <s v="OFF-AR-10003727"/>
    <x v="1"/>
    <x v="8"/>
    <s v="Berol Giant Pencil Sharpener"/>
    <n v="1699"/>
  </r>
  <r>
    <s v="CA-2015-147298"/>
    <x v="759"/>
    <d v="2015-05-03T00:00:00"/>
    <d v="2015-04-01T00:00:00"/>
    <s v="Standard Class"/>
    <s v="AG-10300"/>
    <s v="Aleksandra Gannaway"/>
    <x v="1"/>
    <s v="United States"/>
    <s v="Los Angeles"/>
    <s v="California"/>
    <n v="90049"/>
    <x v="1"/>
    <s v="FUR-CH-10004886"/>
    <x v="0"/>
    <x v="9"/>
    <s v="Bevis Steel Folding Chairs"/>
    <n v="23028"/>
  </r>
  <r>
    <s v="CA-2018-127180"/>
    <x v="760"/>
    <d v="2018-10-24T00:00:00"/>
    <d v="2018-10-01T00:00:00"/>
    <s v="First Class"/>
    <s v="TA-21385"/>
    <s v="Tom Ashbrook"/>
    <x v="2"/>
    <s v="United States"/>
    <s v="New York City"/>
    <s v="New York"/>
    <n v="10024"/>
    <x v="3"/>
    <s v="TEC-CO-10004722"/>
    <x v="2"/>
    <x v="15"/>
    <s v="Canon imageCLASS 2200 Advanced Copier"/>
    <n v="11199968"/>
  </r>
  <r>
    <s v="CA-2016-116750"/>
    <x v="761"/>
    <d v="2016-07-10T00:00:00"/>
    <d v="2016-07-01T00:00:00"/>
    <s v="Second Class"/>
    <s v="BF-10975"/>
    <s v="Barbara Fisher"/>
    <x v="1"/>
    <s v="United States"/>
    <s v="Fayetteville"/>
    <s v="North Carolina"/>
    <n v="28314"/>
    <x v="0"/>
    <s v="FUR-FU-10003829"/>
    <x v="0"/>
    <x v="3"/>
    <s v="Stackable Trays"/>
    <n v="4928"/>
  </r>
  <r>
    <s v="CA-2016-162369"/>
    <x v="762"/>
    <d v="2016-08-19T00:00:00"/>
    <d v="2016-08-01T00:00:00"/>
    <s v="Standard Class"/>
    <s v="TT-21265"/>
    <s v="Tim Taslimi"/>
    <x v="1"/>
    <s v="United States"/>
    <s v="Los Angeles"/>
    <s v="California"/>
    <n v="90045"/>
    <x v="1"/>
    <s v="OFF-ST-10000046"/>
    <x v="1"/>
    <x v="7"/>
    <s v="Fellowes Super Stor/Drawer Files"/>
    <n v="3231"/>
  </r>
  <r>
    <s v="CA-2016-169740"/>
    <x v="763"/>
    <d v="2016-02-25T00:00:00"/>
    <d v="2016-02-01T00:00:00"/>
    <s v="Standard Class"/>
    <s v="LM-17065"/>
    <s v="Liz MacKendrick"/>
    <x v="0"/>
    <s v="United States"/>
    <s v="Hot Springs"/>
    <s v="Arkansas"/>
    <n v="71901"/>
    <x v="0"/>
    <s v="TEC-AC-10000927"/>
    <x v="2"/>
    <x v="12"/>
    <s v="Anker Ultrathin Bluetooth Wireless Keyboard Aluminum Cover with Stand"/>
    <n v="2999"/>
  </r>
  <r>
    <s v="CA-2017-149111"/>
    <x v="764"/>
    <d v="2017-04-21T00:00:00"/>
    <d v="2017-04-01T00:00:00"/>
    <s v="Second Class"/>
    <s v="BF-11170"/>
    <s v="Ben Ferrer"/>
    <x v="2"/>
    <s v="United States"/>
    <s v="Raleigh"/>
    <s v="North Carolina"/>
    <n v="27604"/>
    <x v="0"/>
    <s v="TEC-PH-10003092"/>
    <x v="2"/>
    <x v="10"/>
    <s v="Motorola L804"/>
    <n v="36792"/>
  </r>
  <r>
    <s v="CA-2017-150343"/>
    <x v="765"/>
    <d v="2017-08-20T00:00:00"/>
    <d v="2017-08-01T00:00:00"/>
    <s v="Standard Class"/>
    <s v="PK-19075"/>
    <s v="Pete Kriz"/>
    <x v="0"/>
    <s v="United States"/>
    <s v="San Francisco"/>
    <s v="California"/>
    <n v="94110"/>
    <x v="1"/>
    <s v="OFF-EN-10004030"/>
    <x v="1"/>
    <x v="11"/>
    <s v="Convenience Packs of Business Envelopes"/>
    <n v="1086"/>
  </r>
  <r>
    <s v="CA-2017-164784"/>
    <x v="766"/>
    <d v="2017-05-04T00:00:00"/>
    <d v="2017-05-01T00:00:00"/>
    <s v="First Class"/>
    <s v="HF-14995"/>
    <s v="Herbert Flentye"/>
    <x v="0"/>
    <s v="United States"/>
    <s v="Memphis"/>
    <s v="Tennessee"/>
    <n v="38109"/>
    <x v="0"/>
    <s v="OFF-LA-10001569"/>
    <x v="1"/>
    <x v="1"/>
    <s v="Avery 499"/>
    <n v="3984"/>
  </r>
  <r>
    <s v="US-2016-139759"/>
    <x v="767"/>
    <d v="2016-08-30T00:00:00"/>
    <d v="2016-08-01T00:00:00"/>
    <s v="Standard Class"/>
    <s v="NL-18310"/>
    <s v="Nancy Lomonaco"/>
    <x v="2"/>
    <s v="United States"/>
    <s v="Los Angeles"/>
    <s v="California"/>
    <n v="90045"/>
    <x v="1"/>
    <s v="FUR-CH-10002774"/>
    <x v="0"/>
    <x v="9"/>
    <s v="Global Deluxe Stacking Chair, Gray"/>
    <n v="40784"/>
  </r>
  <r>
    <s v="CA-2016-153220"/>
    <x v="768"/>
    <d v="2016-11-14T00:00:00"/>
    <d v="2016-11-01T00:00:00"/>
    <s v="First Class"/>
    <s v="YC-21895"/>
    <s v="Yoseph Carroll"/>
    <x v="1"/>
    <s v="United States"/>
    <s v="Los Angeles"/>
    <s v="California"/>
    <n v="90032"/>
    <x v="1"/>
    <s v="OFF-PA-10003016"/>
    <x v="1"/>
    <x v="4"/>
    <s v="Adams &quot;While You Were Out&quot; Message Pads"/>
    <n v="157"/>
  </r>
  <r>
    <s v="CA-2018-156412"/>
    <x v="769"/>
    <d v="2018-12-08T00:00:00"/>
    <d v="2018-12-01T00:00:00"/>
    <s v="Standard Class"/>
    <s v="CM-12160"/>
    <s v="Charles McCrossin"/>
    <x v="0"/>
    <s v="United States"/>
    <s v="Philadelphia"/>
    <s v="Pennsylvania"/>
    <n v="19134"/>
    <x v="3"/>
    <s v="OFF-BI-10004364"/>
    <x v="1"/>
    <x v="5"/>
    <s v="Storex Dura Pro Binders"/>
    <n v="5346"/>
  </r>
  <r>
    <s v="US-2017-144211"/>
    <x v="770"/>
    <d v="2017-09-02T00:00:00"/>
    <d v="2017-08-01T00:00:00"/>
    <s v="Standard Class"/>
    <s v="CS-12130"/>
    <s v="Chad Sievert"/>
    <x v="0"/>
    <s v="United States"/>
    <s v="Englewood"/>
    <s v="Colorado"/>
    <n v="80112"/>
    <x v="1"/>
    <s v="OFF-PA-10002246"/>
    <x v="1"/>
    <x v="4"/>
    <s v="Wirebound Four 2-3/4 x 5 Forms per Page, 400 Sets per Book"/>
    <n v="1548"/>
  </r>
  <r>
    <s v="CA-2015-143182"/>
    <x v="771"/>
    <d v="2015-10-20T00:00:00"/>
    <d v="2015-10-01T00:00:00"/>
    <s v="Standard Class"/>
    <s v="DL-12865"/>
    <s v="Dan Lawera"/>
    <x v="0"/>
    <s v="United States"/>
    <s v="Hialeah"/>
    <s v="Florida"/>
    <n v="33012"/>
    <x v="0"/>
    <s v="FUR-FU-10004270"/>
    <x v="0"/>
    <x v="3"/>
    <s v="Executive Impressions 13&quot; Clairmont Wall Clock"/>
    <n v="15384"/>
  </r>
  <r>
    <s v="CA-2015-145317"/>
    <x v="772"/>
    <d v="2015-03-23T00:00:00"/>
    <d v="2015-03-01T00:00:00"/>
    <s v="Standard Class"/>
    <s v="SM-20320"/>
    <s v="Sean Miller"/>
    <x v="2"/>
    <s v="United States"/>
    <s v="Jacksonville"/>
    <s v="Florida"/>
    <n v="32216"/>
    <x v="0"/>
    <s v="TEC-MA-10003626"/>
    <x v="2"/>
    <x v="14"/>
    <s v="Hewlett-Packard Deskjet 6540 Color Inkjet Printer"/>
    <n v="8213"/>
  </r>
  <r>
    <s v="CA-2015-143413"/>
    <x v="773"/>
    <d v="2015-05-30T00:00:00"/>
    <d v="2015-05-01T00:00:00"/>
    <s v="Standard Class"/>
    <s v="RP-19390"/>
    <s v="Resi Pölking"/>
    <x v="0"/>
    <s v="United States"/>
    <s v="Baltimore"/>
    <s v="Maryland"/>
    <n v="21215"/>
    <x v="3"/>
    <s v="OFF-PA-10002319"/>
    <x v="1"/>
    <x v="4"/>
    <s v="Xerox 1944"/>
    <n v="11628"/>
  </r>
  <r>
    <s v="CA-2015-127187"/>
    <x v="774"/>
    <d v="2015-12-08T00:00:00"/>
    <d v="2015-12-01T00:00:00"/>
    <s v="Standard Class"/>
    <s v="CP-12085"/>
    <s v="Cathy Prescott"/>
    <x v="1"/>
    <s v="United States"/>
    <s v="New York City"/>
    <s v="New York"/>
    <n v="10024"/>
    <x v="3"/>
    <s v="TEC-PH-10000673"/>
    <x v="2"/>
    <x v="10"/>
    <s v="Plantronics Voyager Pro HD - Bluetooth Headset"/>
    <n v="12998"/>
  </r>
  <r>
    <s v="CA-2018-128475"/>
    <x v="775"/>
    <d v="2018-09-01T00:00:00"/>
    <d v="2018-08-01T00:00:00"/>
    <s v="Standard Class"/>
    <s v="SC-20680"/>
    <s v="Steve Carroll"/>
    <x v="2"/>
    <s v="United States"/>
    <s v="Columbus"/>
    <s v="Georgia"/>
    <n v="31907"/>
    <x v="0"/>
    <s v="TEC-AC-10000158"/>
    <x v="2"/>
    <x v="12"/>
    <s v="Sony 64GB Class 10 Micro SDHC R40 Memory Card"/>
    <n v="7198"/>
  </r>
  <r>
    <s v="CA-2015-110030"/>
    <x v="776"/>
    <d v="2015-12-08T00:00:00"/>
    <d v="2015-12-01T00:00:00"/>
    <s v="Second Class"/>
    <s v="LF-17185"/>
    <s v="Luke Foster"/>
    <x v="0"/>
    <s v="United States"/>
    <s v="Houston"/>
    <s v="Texas"/>
    <n v="77095"/>
    <x v="2"/>
    <s v="FUR-FU-10002759"/>
    <x v="0"/>
    <x v="3"/>
    <s v="12-1/2 Diameter Round Wall Clock"/>
    <n v="23976"/>
  </r>
  <r>
    <s v="CA-2015-153479"/>
    <x v="777"/>
    <d v="2015-10-08T00:00:00"/>
    <d v="2015-10-01T00:00:00"/>
    <s v="Standard Class"/>
    <s v="DF-13135"/>
    <s v="David Flashing"/>
    <x v="0"/>
    <s v="United States"/>
    <s v="Vallejo"/>
    <s v="California"/>
    <n v="94591"/>
    <x v="1"/>
    <s v="OFF-LA-10004689"/>
    <x v="1"/>
    <x v="1"/>
    <s v="Avery 512"/>
    <n v="1445"/>
  </r>
  <r>
    <s v="CA-2018-104801"/>
    <x v="778"/>
    <d v="2018-02-19T00:00:00"/>
    <d v="2018-02-01T00:00:00"/>
    <s v="Standard Class"/>
    <s v="FH-14350"/>
    <s v="Fred Harton"/>
    <x v="0"/>
    <s v="United States"/>
    <s v="Seattle"/>
    <s v="Washington"/>
    <n v="98105"/>
    <x v="1"/>
    <s v="OFF-AR-10001547"/>
    <x v="1"/>
    <x v="8"/>
    <s v="Newell 311"/>
    <n v="663"/>
  </r>
  <r>
    <s v="CA-2015-107594"/>
    <x v="779"/>
    <d v="2015-07-06T00:00:00"/>
    <d v="2015-07-01T00:00:00"/>
    <s v="Standard Class"/>
    <s v="EH-13945"/>
    <s v="Eric Hoffmann"/>
    <x v="0"/>
    <s v="United States"/>
    <s v="Plainfield"/>
    <s v="New Jersey"/>
    <n v="7060"/>
    <x v="3"/>
    <s v="TEC-PH-10002923"/>
    <x v="2"/>
    <x v="10"/>
    <s v="Logitech B530 USB Headset - headset - Full size, Binaural"/>
    <n v="7398"/>
  </r>
  <r>
    <s v="CA-2016-129770"/>
    <x v="780"/>
    <d v="2016-02-23T00:00:00"/>
    <d v="2016-02-01T00:00:00"/>
    <s v="Second Class"/>
    <s v="JE-15715"/>
    <s v="Joe Elijah"/>
    <x v="0"/>
    <s v="United States"/>
    <s v="Las Cruces"/>
    <s v="New Mexico"/>
    <n v="88001"/>
    <x v="1"/>
    <s v="OFF-PA-10000249"/>
    <x v="1"/>
    <x v="4"/>
    <s v="Easy-staple paper"/>
    <n v="4912"/>
  </r>
  <r>
    <s v="CA-2017-165015"/>
    <x v="781"/>
    <d v="2017-02-27T00:00:00"/>
    <d v="2017-02-01T00:00:00"/>
    <s v="Second Class"/>
    <s v="BD-11725"/>
    <s v="Bruce Degenhardt"/>
    <x v="0"/>
    <s v="United States"/>
    <s v="Newark"/>
    <s v="Ohio"/>
    <n v="43055"/>
    <x v="3"/>
    <s v="OFF-EN-10003134"/>
    <x v="1"/>
    <x v="11"/>
    <s v="Staple envelope"/>
    <n v="4672"/>
  </r>
  <r>
    <s v="CA-2016-140144"/>
    <x v="782"/>
    <d v="2016-06-25T00:00:00"/>
    <d v="2016-06-01T00:00:00"/>
    <s v="Second Class"/>
    <s v="SC-20770"/>
    <s v="Stewart Carmichael"/>
    <x v="1"/>
    <s v="United States"/>
    <s v="San Francisco"/>
    <s v="California"/>
    <n v="94122"/>
    <x v="1"/>
    <s v="FUR-FU-10002253"/>
    <x v="0"/>
    <x v="3"/>
    <s v="Howard Miller 13&quot; Diameter Pewter Finish Round Wall Clock"/>
    <n v="25764"/>
  </r>
  <r>
    <s v="CA-2018-163321"/>
    <x v="783"/>
    <d v="2018-08-11T00:00:00"/>
    <d v="2018-08-01T00:00:00"/>
    <s v="Second Class"/>
    <s v="FM-14380"/>
    <s v="Fred McMath"/>
    <x v="0"/>
    <s v="United States"/>
    <s v="Jacksonville"/>
    <s v="North Carolina"/>
    <n v="28540"/>
    <x v="0"/>
    <s v="TEC-AC-10004571"/>
    <x v="2"/>
    <x v="12"/>
    <s v="Logitech G700s Rechargeable Gaming Mouse"/>
    <n v="79992"/>
  </r>
  <r>
    <s v="CA-2016-110247"/>
    <x v="784"/>
    <d v="2016-12-08T00:00:00"/>
    <d v="2016-12-01T00:00:00"/>
    <s v="Standard Class"/>
    <s v="RH-19555"/>
    <s v="Ritsa Hightower"/>
    <x v="0"/>
    <s v="United States"/>
    <s v="Tallahassee"/>
    <s v="Florida"/>
    <n v="32303"/>
    <x v="0"/>
    <s v="OFF-BI-10001553"/>
    <x v="1"/>
    <x v="5"/>
    <s v="SpineVue Locking Slant-D Ring Binders by Cardinal"/>
    <n v="8226"/>
  </r>
  <r>
    <s v="US-2015-141257"/>
    <x v="785"/>
    <d v="2015-06-14T00:00:00"/>
    <d v="2015-06-01T00:00:00"/>
    <s v="Standard Class"/>
    <s v="CS-11950"/>
    <s v="Carlos Soltero"/>
    <x v="0"/>
    <s v="United States"/>
    <s v="Seattle"/>
    <s v="Washington"/>
    <n v="98115"/>
    <x v="1"/>
    <s v="FUR-CH-10002758"/>
    <x v="0"/>
    <x v="9"/>
    <s v="Hon Deluxe Fabric Upholstered Stacking Chairs, Squared Back"/>
    <n v="585552"/>
  </r>
  <r>
    <s v="CA-2016-155306"/>
    <x v="786"/>
    <d v="2016-04-21T00:00:00"/>
    <d v="2016-04-01T00:00:00"/>
    <s v="Standard Class"/>
    <s v="GA-14515"/>
    <s v="George Ashbrook"/>
    <x v="0"/>
    <s v="United States"/>
    <s v="San Francisco"/>
    <s v="California"/>
    <n v="94122"/>
    <x v="1"/>
    <s v="OFF-AR-10003251"/>
    <x v="1"/>
    <x v="8"/>
    <s v="Prang Drawing Pencil Set"/>
    <n v="556"/>
  </r>
  <r>
    <s v="CA-2018-167752"/>
    <x v="787"/>
    <d v="2018-01-18T00:00:00"/>
    <d v="2018-01-01T00:00:00"/>
    <s v="First Class"/>
    <s v="RW-19690"/>
    <s v="Robert Waldorf"/>
    <x v="0"/>
    <s v="United States"/>
    <s v="Philadelphia"/>
    <s v="Pennsylvania"/>
    <n v="19134"/>
    <x v="3"/>
    <s v="OFF-AP-10000159"/>
    <x v="1"/>
    <x v="6"/>
    <s v="Belkin F9M820V08 8 Outlet Surge"/>
    <n v="34384"/>
  </r>
  <r>
    <s v="US-2016-122140"/>
    <x v="788"/>
    <d v="2016-04-07T00:00:00"/>
    <d v="2016-04-01T00:00:00"/>
    <s v="Standard Class"/>
    <s v="MO-17950"/>
    <s v="Michael Oakman"/>
    <x v="0"/>
    <s v="United States"/>
    <s v="Dallas"/>
    <s v="Texas"/>
    <n v="75220"/>
    <x v="2"/>
    <s v="OFF-AP-10001242"/>
    <x v="1"/>
    <x v="6"/>
    <s v="APC 7 Outlet Network SurgeArrest Surge Protector"/>
    <n v="32192"/>
  </r>
  <r>
    <s v="CA-2016-138534"/>
    <x v="789"/>
    <d v="2016-07-19T00:00:00"/>
    <d v="2016-07-01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466"/>
  </r>
  <r>
    <s v="CA-2017-116974"/>
    <x v="790"/>
    <d v="2017-10-15T00:00:00"/>
    <d v="2017-10-01T00:00:00"/>
    <s v="Standard Class"/>
    <s v="MP-17965"/>
    <s v="Michael Paige"/>
    <x v="1"/>
    <s v="United States"/>
    <s v="Troy"/>
    <s v="Ohio"/>
    <n v="45373"/>
    <x v="3"/>
    <s v="TEC-PH-10004897"/>
    <x v="2"/>
    <x v="10"/>
    <s v="Mediabridge Sport Armband iPhone 5s"/>
    <n v="23976"/>
  </r>
  <r>
    <s v="CA-2015-154599"/>
    <x v="791"/>
    <d v="2015-04-17T00:00:00"/>
    <d v="2015-04-01T00:00:00"/>
    <s v="Standard Class"/>
    <s v="KN-16450"/>
    <s v="Kean Nguyen"/>
    <x v="1"/>
    <s v="United States"/>
    <s v="Redondo Beach"/>
    <s v="California"/>
    <n v="90278"/>
    <x v="1"/>
    <s v="TEC-PH-10001557"/>
    <x v="2"/>
    <x v="10"/>
    <s v="Pyle PMP37LED"/>
    <n v="1075088"/>
  </r>
  <r>
    <s v="CA-2017-153318"/>
    <x v="792"/>
    <d v="2017-10-28T00:00:00"/>
    <d v="2017-10-01T00:00:00"/>
    <s v="First Class"/>
    <s v="JS-15595"/>
    <s v="Jill Stevenson"/>
    <x v="1"/>
    <s v="United States"/>
    <s v="Miami"/>
    <s v="Florida"/>
    <n v="33180"/>
    <x v="0"/>
    <s v="TEC-PH-10000984"/>
    <x v="2"/>
    <x v="10"/>
    <s v="Panasonic KX-TG9471B"/>
    <n v="78396"/>
  </r>
  <r>
    <s v="CA-2016-159380"/>
    <x v="793"/>
    <d v="2016-05-16T00:00:00"/>
    <d v="2016-05-01T00:00:00"/>
    <s v="Standard Class"/>
    <s v="CS-12505"/>
    <s v="Cindy Stewart"/>
    <x v="0"/>
    <s v="United States"/>
    <s v="San Francisco"/>
    <s v="California"/>
    <n v="94122"/>
    <x v="1"/>
    <s v="OFF-PA-10003893"/>
    <x v="1"/>
    <x v="4"/>
    <s v="Xerox 1962"/>
    <n v="1284"/>
  </r>
  <r>
    <s v="US-2015-112914"/>
    <x v="794"/>
    <d v="2015-09-30T00:00:00"/>
    <d v="2015-09-01T00:00:00"/>
    <s v="Standard Class"/>
    <s v="MT-18070"/>
    <s v="Michelle Tran"/>
    <x v="2"/>
    <s v="United States"/>
    <s v="Houston"/>
    <s v="Texas"/>
    <n v="77041"/>
    <x v="2"/>
    <s v="OFF-PA-10003270"/>
    <x v="1"/>
    <x v="4"/>
    <s v="Xerox 1954"/>
    <n v="33792"/>
  </r>
  <r>
    <s v="CA-2018-134649"/>
    <x v="795"/>
    <d v="2018-01-31T00:00:00"/>
    <d v="2018-01-01T00:00:00"/>
    <s v="Second Class"/>
    <s v="CA-11965"/>
    <s v="Carol Adams"/>
    <x v="1"/>
    <s v="United States"/>
    <s v="Hoover"/>
    <s v="Alabama"/>
    <n v="35244"/>
    <x v="0"/>
    <s v="OFF-AR-10001547"/>
    <x v="1"/>
    <x v="8"/>
    <s v="Newell 311"/>
    <n v="1547"/>
  </r>
  <r>
    <s v="CA-2018-112865"/>
    <x v="796"/>
    <d v="2018-05-22T00:00:00"/>
    <d v="2018-05-01T00:00:00"/>
    <s v="Standard Class"/>
    <s v="BH-11710"/>
    <s v="Brosina Hoffman"/>
    <x v="0"/>
    <s v="United States"/>
    <s v="Philadelphia"/>
    <s v="Pennsylvania"/>
    <n v="19140"/>
    <x v="3"/>
    <s v="TEC-AC-10000387"/>
    <x v="2"/>
    <x v="12"/>
    <s v="KeyTronic KT800P2 - Keyboard - Black"/>
    <n v="36048"/>
  </r>
  <r>
    <s v="US-2017-162852"/>
    <x v="797"/>
    <d v="2017-12-31T00:00:00"/>
    <d v="2017-12-01T00:00:00"/>
    <s v="Standard Class"/>
    <s v="BG-11695"/>
    <s v="Brooke Gillingham"/>
    <x v="1"/>
    <s v="United States"/>
    <s v="Woodstock"/>
    <s v="Illinois"/>
    <n v="60098"/>
    <x v="2"/>
    <s v="FUR-CH-10004853"/>
    <x v="0"/>
    <x v="9"/>
    <s v="Global Manager's Adjustable Task Chair, Storm"/>
    <n v="845488"/>
  </r>
  <r>
    <s v="CA-2018-157854"/>
    <x v="798"/>
    <d v="2018-04-15T00:00:00"/>
    <d v="2018-04-01T00:00:00"/>
    <s v="Standard Class"/>
    <s v="DM-13345"/>
    <s v="Denise Monton"/>
    <x v="1"/>
    <s v="United States"/>
    <s v="Roswell"/>
    <s v="Georgia"/>
    <n v="30076"/>
    <x v="0"/>
    <s v="FUR-FU-10003832"/>
    <x v="0"/>
    <x v="3"/>
    <s v="Eldon Expressions Punched Metal &amp; Wood Desk Accessories, Black &amp; Cherry"/>
    <n v="5628"/>
  </r>
  <r>
    <s v="US-2017-128293"/>
    <x v="799"/>
    <d v="2017-06-05T00:00:00"/>
    <d v="2017-06-01T00:00:00"/>
    <s v="First Class"/>
    <s v="KC-16255"/>
    <s v="Karen Carlisle"/>
    <x v="1"/>
    <s v="United States"/>
    <s v="Philadelphia"/>
    <s v="Pennsylvania"/>
    <n v="19120"/>
    <x v="3"/>
    <s v="OFF-ST-10000736"/>
    <x v="1"/>
    <x v="7"/>
    <s v="Carina Double Wide Media Storage Towers in Natural &amp; Black"/>
    <n v="64784"/>
  </r>
  <r>
    <s v="CA-2018-169810"/>
    <x v="800"/>
    <d v="2018-07-31T00:00:00"/>
    <d v="2018-07-01T00:00:00"/>
    <s v="Standard Class"/>
    <s v="RB-19360"/>
    <s v="Raymond Buch"/>
    <x v="0"/>
    <s v="United States"/>
    <s v="Sioux Falls"/>
    <s v="South Dakota"/>
    <n v="57103"/>
    <x v="2"/>
    <s v="OFF-LA-10003663"/>
    <x v="1"/>
    <x v="1"/>
    <s v="Avery 498"/>
    <n v="2023"/>
  </r>
  <r>
    <s v="CA-2018-106537"/>
    <x v="801"/>
    <d v="2018-08-17T00:00:00"/>
    <d v="2018-08-01T00:00:00"/>
    <s v="Standard Class"/>
    <s v="RH-19495"/>
    <s v="Rick Hansen"/>
    <x v="0"/>
    <s v="United States"/>
    <s v="Orlando"/>
    <s v="Florida"/>
    <n v="32839"/>
    <x v="0"/>
    <s v="OFF-PA-10000223"/>
    <x v="1"/>
    <x v="4"/>
    <s v="Xerox 2000"/>
    <n v="20736"/>
  </r>
  <r>
    <s v="US-2018-103828"/>
    <x v="802"/>
    <d v="2018-08-13T00:00:00"/>
    <d v="2018-08-01T00:00:00"/>
    <s v="Same Day"/>
    <s v="JK-15370"/>
    <s v="Jay Kimmel"/>
    <x v="0"/>
    <s v="United States"/>
    <s v="San Francisco"/>
    <s v="California"/>
    <n v="94122"/>
    <x v="1"/>
    <s v="OFF-ST-10001325"/>
    <x v="1"/>
    <x v="7"/>
    <s v="Sterilite Officeware Hinged File Box"/>
    <n v="3144"/>
  </r>
  <r>
    <s v="US-2017-167339"/>
    <x v="803"/>
    <d v="2017-01-23T00:00:00"/>
    <d v="2017-01-01T00:00:00"/>
    <s v="Second Class"/>
    <s v="TD-20995"/>
    <s v="Tamara Dahlen"/>
    <x v="0"/>
    <s v="United States"/>
    <s v="San Diego"/>
    <s v="California"/>
    <n v="92037"/>
    <x v="1"/>
    <s v="FUR-CH-10004289"/>
    <x v="0"/>
    <x v="9"/>
    <s v="Global Super Steno Chair"/>
    <n v="153568"/>
  </r>
  <r>
    <s v="CA-2017-152072"/>
    <x v="804"/>
    <d v="2017-01-19T00:00:00"/>
    <d v="2017-01-01T00:00:00"/>
    <s v="Standard Class"/>
    <s v="Dp-13240"/>
    <s v="Dean percer"/>
    <x v="2"/>
    <s v="United States"/>
    <s v="Westfield"/>
    <s v="New Jersey"/>
    <n v="7090"/>
    <x v="3"/>
    <s v="OFF-EN-10003040"/>
    <x v="1"/>
    <x v="11"/>
    <s v="Quality Park Security Envelopes"/>
    <n v="5234"/>
  </r>
  <r>
    <s v="CA-2015-165540"/>
    <x v="805"/>
    <d v="2015-02-25T00:00:00"/>
    <d v="2015-02-01T00:00:00"/>
    <s v="Standard Class"/>
    <s v="TM-21010"/>
    <s v="Tamara Manning"/>
    <x v="0"/>
    <s v="United States"/>
    <s v="Woodstock"/>
    <s v="Illinois"/>
    <n v="60098"/>
    <x v="2"/>
    <s v="OFF-BI-10004094"/>
    <x v="1"/>
    <x v="5"/>
    <s v="GBC Standard Plastic Binding Systems Combs"/>
    <n v="885"/>
  </r>
  <r>
    <s v="CA-2017-164483"/>
    <x v="806"/>
    <d v="2017-02-03T00:00:00"/>
    <d v="2017-01-01T00:00:00"/>
    <s v="Standard Class"/>
    <s v="JF-15490"/>
    <s v="Jeremy Farry"/>
    <x v="0"/>
    <s v="United States"/>
    <s v="San Francisco"/>
    <s v="California"/>
    <n v="94122"/>
    <x v="1"/>
    <s v="OFF-BI-10000014"/>
    <x v="1"/>
    <x v="5"/>
    <s v="Heavy-Duty E-Z-D Binders"/>
    <n v="17456"/>
  </r>
  <r>
    <s v="US-2017-159856"/>
    <x v="807"/>
    <d v="2017-10-22T00:00:00"/>
    <d v="2017-10-01T00:00:00"/>
    <s v="Standard Class"/>
    <s v="EP-13915"/>
    <s v="Emily Phan"/>
    <x v="0"/>
    <s v="United States"/>
    <s v="Tempe"/>
    <s v="Arizona"/>
    <n v="85281"/>
    <x v="1"/>
    <s v="FUR-CH-10003396"/>
    <x v="0"/>
    <x v="9"/>
    <s v="Global Deluxe Steno Chair"/>
    <n v="30792"/>
  </r>
  <r>
    <s v="CA-2018-164049"/>
    <x v="808"/>
    <d v="2018-11-06T00:00:00"/>
    <d v="2018-11-01T00:00:00"/>
    <s v="Standard Class"/>
    <s v="KH-16630"/>
    <s v="Ken Heidel"/>
    <x v="1"/>
    <s v="United States"/>
    <s v="Seattle"/>
    <s v="Washington"/>
    <n v="98105"/>
    <x v="1"/>
    <s v="OFF-PA-10000791"/>
    <x v="1"/>
    <x v="4"/>
    <s v="Wirebound Message Books, Four 2 3/4 x 5 Forms per Page, 200 Sets per Book"/>
    <n v="2385"/>
  </r>
  <r>
    <s v="CA-2015-169033"/>
    <x v="809"/>
    <d v="2015-04-03T00:00:00"/>
    <d v="2015-03-01T00:00:00"/>
    <s v="Standard Class"/>
    <s v="KM-16720"/>
    <s v="Kunst Miller"/>
    <x v="0"/>
    <s v="United States"/>
    <s v="Long Beach"/>
    <s v="New York"/>
    <n v="11561"/>
    <x v="3"/>
    <s v="OFF-AR-10001915"/>
    <x v="1"/>
    <x v="8"/>
    <s v="Peel-Off China Markers"/>
    <n v="4965"/>
  </r>
  <r>
    <s v="US-2017-164630"/>
    <x v="810"/>
    <d v="2017-01-09T00:00:00"/>
    <d v="2017-01-01T00:00:00"/>
    <s v="Standard Class"/>
    <s v="EB-13975"/>
    <s v="Erica Bern"/>
    <x v="1"/>
    <s v="United States"/>
    <s v="Charlotte"/>
    <s v="North Carolina"/>
    <n v="28205"/>
    <x v="0"/>
    <s v="TEC-CO-10000971"/>
    <x v="2"/>
    <x v="15"/>
    <s v="Hewlett Packard 310 Color Digital Copier"/>
    <n v="959968"/>
  </r>
  <r>
    <s v="CA-2016-166464"/>
    <x v="811"/>
    <d v="2016-09-17T00:00:00"/>
    <d v="2016-09-01T00:00:00"/>
    <s v="Standard Class"/>
    <s v="PG-18895"/>
    <s v="Paul Gonzalez"/>
    <x v="0"/>
    <s v="United States"/>
    <s v="New York City"/>
    <s v="New York"/>
    <n v="10035"/>
    <x v="3"/>
    <s v="TEC-CO-10000971"/>
    <x v="2"/>
    <x v="15"/>
    <s v="Hewlett Packard 310 Color Digital Copier"/>
    <n v="479984"/>
  </r>
  <r>
    <s v="CA-2017-153577"/>
    <x v="812"/>
    <d v="2017-07-01T00:00:00"/>
    <d v="2017-06-01T00:00:00"/>
    <s v="Standard Class"/>
    <s v="KH-16330"/>
    <s v="Katharine Harms"/>
    <x v="1"/>
    <s v="United States"/>
    <s v="Highland Park"/>
    <s v="Illinois"/>
    <n v="60035"/>
    <x v="2"/>
    <s v="OFF-PA-10000575"/>
    <x v="1"/>
    <x v="4"/>
    <s v="Wirebound Message Books, Four 2 3/4 x 5 White Forms per Page"/>
    <n v="37464"/>
  </r>
  <r>
    <s v="CA-2017-160129"/>
    <x v="813"/>
    <d v="2017-11-23T00:00:00"/>
    <d v="2017-11-01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8"/>
  </r>
  <r>
    <s v="CA-2015-157721"/>
    <x v="814"/>
    <d v="2015-09-05T00:00:00"/>
    <d v="2015-09-01T00:00:00"/>
    <s v="First Class"/>
    <s v="JM-16195"/>
    <s v="Justin MacKendrick"/>
    <x v="0"/>
    <s v="United States"/>
    <s v="Watertown"/>
    <s v="New York"/>
    <n v="13601"/>
    <x v="3"/>
    <s v="OFF-AP-10001303"/>
    <x v="1"/>
    <x v="6"/>
    <s v="Holmes Cool Mist Humidifier for the Whole House with 8-Gallon Output per Day, Extended Life Filter"/>
    <n v="199"/>
  </r>
  <r>
    <s v="CA-2018-128629"/>
    <x v="815"/>
    <d v="2018-07-14T00:00:00"/>
    <d v="2018-07-01T00:00:00"/>
    <s v="Second Class"/>
    <s v="BP-11155"/>
    <s v="Becky Pak"/>
    <x v="0"/>
    <s v="United States"/>
    <s v="Columbus"/>
    <s v="Georgia"/>
    <n v="31907"/>
    <x v="0"/>
    <s v="FUR-FU-10000771"/>
    <x v="0"/>
    <x v="3"/>
    <s v="Eldon 200 Class Desk Accessories, Smoke"/>
    <n v="1884"/>
  </r>
  <r>
    <s v="CA-2016-168564"/>
    <x v="816"/>
    <d v="2016-08-08T00:00:00"/>
    <d v="2016-08-01T00:00:00"/>
    <s v="Same Day"/>
    <s v="TT-21220"/>
    <s v="Thomas Thornton"/>
    <x v="0"/>
    <s v="United States"/>
    <s v="San Francisco"/>
    <s v="California"/>
    <n v="94109"/>
    <x v="1"/>
    <s v="OFF-BI-10004970"/>
    <x v="1"/>
    <x v="5"/>
    <s v="ACCOHIDE 3-Ring Binder, Blue, 1&quot;"/>
    <n v="6608"/>
  </r>
  <r>
    <s v="CA-2018-169859"/>
    <x v="817"/>
    <d v="2018-12-18T00:00:00"/>
    <d v="2018-12-01T00:00:00"/>
    <s v="Standard Class"/>
    <s v="MP-18175"/>
    <s v="Mike Pelletier"/>
    <x v="2"/>
    <s v="United States"/>
    <s v="San Diego"/>
    <s v="California"/>
    <n v="92024"/>
    <x v="1"/>
    <s v="FUR-FU-10004963"/>
    <x v="0"/>
    <x v="3"/>
    <s v="Eldon 400 Class Desk Accessories, Black Carbon"/>
    <n v="2625"/>
  </r>
  <r>
    <s v="CA-2018-123638"/>
    <x v="818"/>
    <d v="2018-07-04T00:00:00"/>
    <d v="2018-06-01T00:00:00"/>
    <s v="Standard Class"/>
    <s v="MA-17995"/>
    <s v="Michelle Arnett"/>
    <x v="2"/>
    <s v="United States"/>
    <s v="Watertown"/>
    <s v="New York"/>
    <n v="13601"/>
    <x v="3"/>
    <s v="FUR-CH-10002647"/>
    <x v="0"/>
    <x v="9"/>
    <s v="Situations Contoured Folding Chairs, 4/Set"/>
    <n v="191646"/>
  </r>
  <r>
    <s v="CA-2018-137428"/>
    <x v="819"/>
    <d v="2018-12-21T00:00:00"/>
    <d v="2018-12-01T00:00:00"/>
    <s v="Second Class"/>
    <s v="AY-10555"/>
    <s v="Andy Yotov"/>
    <x v="1"/>
    <s v="United States"/>
    <s v="Oceanside"/>
    <s v="California"/>
    <n v="92054"/>
    <x v="1"/>
    <s v="FUR-CH-10002774"/>
    <x v="0"/>
    <x v="9"/>
    <s v="Global Deluxe Stacking Chair, Gray"/>
    <n v="81568"/>
  </r>
  <r>
    <s v="CA-2016-137512"/>
    <x v="820"/>
    <d v="2016-05-12T00:00:00"/>
    <d v="2016-05-01T00:00:00"/>
    <s v="Standard Class"/>
    <s v="AG-10675"/>
    <s v="Anna Gayman"/>
    <x v="0"/>
    <s v="United States"/>
    <s v="Allen"/>
    <s v="Texas"/>
    <n v="75002"/>
    <x v="2"/>
    <s v="FUR-TA-10001095"/>
    <x v="0"/>
    <x v="2"/>
    <s v="Chromcraft Round Conference Tables"/>
    <n v="244006"/>
  </r>
  <r>
    <s v="CA-2016-139850"/>
    <x v="821"/>
    <d v="2016-06-17T00:00:00"/>
    <d v="2016-06-01T00:00:00"/>
    <s v="Standard Class"/>
    <s v="GB-14575"/>
    <s v="Giulietta Baptist"/>
    <x v="0"/>
    <s v="United States"/>
    <s v="Philadelphia"/>
    <s v="Pennsylvania"/>
    <n v="19134"/>
    <x v="3"/>
    <s v="OFF-PA-10003848"/>
    <x v="1"/>
    <x v="4"/>
    <s v="Xerox 1997"/>
    <n v="20736"/>
  </r>
  <r>
    <s v="CA-2017-139269"/>
    <x v="822"/>
    <d v="2017-05-30T00:00:00"/>
    <d v="2017-05-01T00:00:00"/>
    <s v="Standard Class"/>
    <s v="JB-16045"/>
    <s v="Julia Barnett"/>
    <x v="2"/>
    <s v="United States"/>
    <s v="Columbus"/>
    <s v="Georgia"/>
    <n v="31907"/>
    <x v="0"/>
    <s v="FUR-FU-10000755"/>
    <x v="0"/>
    <x v="3"/>
    <s v="Eldon Expressions Mahogany Wood Desk Collection"/>
    <n v="2496"/>
  </r>
  <r>
    <s v="CA-2017-139010"/>
    <x v="823"/>
    <d v="2017-02-26T00:00:00"/>
    <d v="2017-02-01T00:00:00"/>
    <s v="Second Class"/>
    <s v="MC-17635"/>
    <s v="Matthew Clasen"/>
    <x v="1"/>
    <s v="United States"/>
    <s v="Los Angeles"/>
    <s v="California"/>
    <n v="90032"/>
    <x v="1"/>
    <s v="TEC-AC-10004227"/>
    <x v="2"/>
    <x v="12"/>
    <s v="SanDisk Ultra 16 GB MicroSDHC Class 10 Memory Card"/>
    <n v="1299"/>
  </r>
  <r>
    <s v="CA-2017-134376"/>
    <x v="824"/>
    <d v="2017-10-06T00:00:00"/>
    <d v="2017-10-01T00:00:00"/>
    <s v="Standard Class"/>
    <s v="TT-21265"/>
    <s v="Tim Taslimi"/>
    <x v="1"/>
    <s v="United States"/>
    <s v="New York City"/>
    <s v="New York"/>
    <n v="10024"/>
    <x v="3"/>
    <s v="OFF-AP-10004532"/>
    <x v="1"/>
    <x v="6"/>
    <s v="Kensington 6 Outlet Guardian Standard Surge Protector"/>
    <n v="6144"/>
  </r>
  <r>
    <s v="CA-2018-147291"/>
    <x v="825"/>
    <d v="2018-03-17T00:00:00"/>
    <d v="2018-03-01T00:00:00"/>
    <s v="Standard Class"/>
    <s v="MJ-17740"/>
    <s v="Max Jones"/>
    <x v="0"/>
    <s v="United States"/>
    <s v="Detroit"/>
    <s v="Michigan"/>
    <n v="48227"/>
    <x v="2"/>
    <s v="OFF-BI-10003091"/>
    <x v="1"/>
    <x v="5"/>
    <s v="GBC DocuBind TL200 Manual Binding Machine"/>
    <n v="89592"/>
  </r>
  <r>
    <s v="CA-2015-148761"/>
    <x v="826"/>
    <d v="2015-05-21T00:00:00"/>
    <d v="2015-05-01T00:00:00"/>
    <s v="Standard Class"/>
    <s v="PA-19060"/>
    <s v="Pete Armstrong"/>
    <x v="2"/>
    <s v="United States"/>
    <s v="Eau Claire"/>
    <s v="Wisconsin"/>
    <n v="54703"/>
    <x v="2"/>
    <s v="OFF-BI-10000666"/>
    <x v="1"/>
    <x v="5"/>
    <s v="Surelock Post Binders"/>
    <n v="9168"/>
  </r>
  <r>
    <s v="CA-2018-134845"/>
    <x v="827"/>
    <d v="2018-04-23T00:00:00"/>
    <d v="2018-04-01T00:00:00"/>
    <s v="Standard Class"/>
    <s v="SR-20425"/>
    <s v="Sharelle Roach"/>
    <x v="2"/>
    <s v="United States"/>
    <s v="Louisville"/>
    <s v="Colorado"/>
    <n v="80027"/>
    <x v="1"/>
    <s v="OFF-BI-10000773"/>
    <x v="1"/>
    <x v="5"/>
    <s v="Insertable Tab Post Binder Dividers"/>
    <n v="1203"/>
  </r>
  <r>
    <s v="US-2017-160528"/>
    <x v="828"/>
    <d v="2017-08-30T00:00:00"/>
    <d v="2017-08-01T00:00:00"/>
    <s v="Standard Class"/>
    <s v="MH-18115"/>
    <s v="Mick Hernandez"/>
    <x v="2"/>
    <s v="United States"/>
    <s v="Pharr"/>
    <s v="Texas"/>
    <n v="78577"/>
    <x v="2"/>
    <s v="OFF-ST-10002743"/>
    <x v="1"/>
    <x v="7"/>
    <s v="SAFCO Boltless Steel Shelving"/>
    <n v="727296"/>
  </r>
  <r>
    <s v="CA-2015-106719"/>
    <x v="829"/>
    <d v="2015-08-24T00:00:00"/>
    <d v="2015-08-01T00:00:00"/>
    <s v="Same Day"/>
    <s v="RB-19645"/>
    <s v="Robert Barroso"/>
    <x v="1"/>
    <s v="United States"/>
    <s v="Billings"/>
    <s v="Montana"/>
    <n v="59102"/>
    <x v="1"/>
    <s v="OFF-BI-10002799"/>
    <x v="1"/>
    <x v="5"/>
    <s v="SlimView Poly Binder, 3/8&quot;"/>
    <n v="8288"/>
  </r>
  <r>
    <s v="US-2017-164189"/>
    <x v="830"/>
    <d v="2017-03-28T00:00:00"/>
    <d v="2017-03-01T00:00:00"/>
    <s v="Standard Class"/>
    <s v="DR-12880"/>
    <s v="Dan Reichenbach"/>
    <x v="1"/>
    <s v="United States"/>
    <s v="Gresham"/>
    <s v="Oregon"/>
    <n v="97030"/>
    <x v="1"/>
    <s v="TEC-PH-10003691"/>
    <x v="2"/>
    <x v="10"/>
    <s v="BlackBerry Q10"/>
    <n v="403168"/>
  </r>
  <r>
    <s v="US-2017-114293"/>
    <x v="831"/>
    <d v="2017-11-26T00:00:00"/>
    <d v="2017-11-01T00:00:00"/>
    <s v="Standard Class"/>
    <s v="JH-16180"/>
    <s v="Justin Hirsh"/>
    <x v="0"/>
    <s v="United States"/>
    <s v="Gresham"/>
    <s v="Oregon"/>
    <n v="97030"/>
    <x v="1"/>
    <s v="FUR-CH-10003833"/>
    <x v="0"/>
    <x v="9"/>
    <s v="Novimex Fabric Task Chair"/>
    <n v="195136"/>
  </r>
  <r>
    <s v="US-2016-123960"/>
    <x v="832"/>
    <d v="2016-06-16T00:00:00"/>
    <d v="2016-06-01T00:00:00"/>
    <s v="Standard Class"/>
    <s v="BD-11605"/>
    <s v="Brian Dahlen"/>
    <x v="0"/>
    <s v="United States"/>
    <s v="Monroe"/>
    <s v="Louisiana"/>
    <n v="71203"/>
    <x v="0"/>
    <s v="TEC-AC-10003038"/>
    <x v="2"/>
    <x v="12"/>
    <s v="Kingston Digital DataTraveler 16GB USB 2.0"/>
    <n v="537"/>
  </r>
  <r>
    <s v="US-2018-148054"/>
    <x v="833"/>
    <d v="2018-10-11T00:00:00"/>
    <d v="2018-10-01T00:00:00"/>
    <s v="Standard Class"/>
    <s v="NZ-18565"/>
    <s v="Nick Zandusky"/>
    <x v="2"/>
    <s v="United States"/>
    <s v="Meridian"/>
    <s v="Idaho"/>
    <n v="83642"/>
    <x v="1"/>
    <s v="FUR-FU-10003247"/>
    <x v="0"/>
    <x v="3"/>
    <s v="36X48 HARDFLOOR CHAIRMAT"/>
    <n v="4196"/>
  </r>
  <r>
    <s v="US-2016-100377"/>
    <x v="834"/>
    <d v="2016-09-01T00:00:00"/>
    <d v="2016-08-01T00:00:00"/>
    <s v="Standard Class"/>
    <s v="TS-21370"/>
    <s v="Todd Sumrall"/>
    <x v="1"/>
    <s v="United States"/>
    <s v="Chicago"/>
    <s v="Illinois"/>
    <n v="60623"/>
    <x v="2"/>
    <s v="TEC-CO-10001046"/>
    <x v="2"/>
    <x v="15"/>
    <s v="Canon Imageclass D680 Copier / Fax"/>
    <n v="279996"/>
  </r>
  <r>
    <s v="CA-2017-125206"/>
    <x v="835"/>
    <d v="2017-01-05T00:00:00"/>
    <d v="2017-01-01T00:00:00"/>
    <s v="First Class"/>
    <s v="LR-16915"/>
    <s v="Lena Radford"/>
    <x v="0"/>
    <s v="United States"/>
    <s v="Los Angeles"/>
    <s v="California"/>
    <n v="90045"/>
    <x v="1"/>
    <s v="OFF-ST-10003692"/>
    <x v="1"/>
    <x v="7"/>
    <s v="Recycled Steel Personal File for Hanging File Folders"/>
    <n v="11446"/>
  </r>
  <r>
    <s v="CA-2015-143903"/>
    <x v="836"/>
    <d v="2015-07-24T00:00:00"/>
    <d v="2015-07-01T00:00:00"/>
    <s v="Standard Class"/>
    <s v="KM-16375"/>
    <s v="Katherine Murray"/>
    <x v="2"/>
    <s v="United States"/>
    <s v="Dallas"/>
    <s v="Texas"/>
    <n v="75217"/>
    <x v="2"/>
    <s v="OFF-ST-10003306"/>
    <x v="1"/>
    <x v="7"/>
    <s v="Letter Size Cart"/>
    <n v="342864"/>
  </r>
  <r>
    <s v="US-2018-132297"/>
    <x v="837"/>
    <d v="2018-06-02T00:00:00"/>
    <d v="2018-05-01T00:00:00"/>
    <s v="Standard Class"/>
    <s v="DW-13480"/>
    <s v="Dianna Wilson"/>
    <x v="2"/>
    <s v="United States"/>
    <s v="Louisville"/>
    <s v="Kentucky"/>
    <n v="40214"/>
    <x v="0"/>
    <s v="OFF-BI-10003364"/>
    <x v="1"/>
    <x v="5"/>
    <s v="Binding Machine Supplies"/>
    <n v="5834"/>
  </r>
  <r>
    <s v="CA-2015-100328"/>
    <x v="838"/>
    <d v="2015-02-03T00:00:00"/>
    <d v="2015-01-01T00:00:00"/>
    <s v="Standard Class"/>
    <s v="JC-15340"/>
    <s v="Jasper Cacioppo"/>
    <x v="0"/>
    <s v="United States"/>
    <s v="New York City"/>
    <s v="New York"/>
    <n v="10024"/>
    <x v="3"/>
    <s v="OFF-BI-10000343"/>
    <x v="1"/>
    <x v="5"/>
    <s v="Pressboard Covers with Storage Hooks, 9 1/2&quot; x 11&quot;, Light Blue"/>
    <n v="3928"/>
  </r>
  <r>
    <s v="CA-2018-118773"/>
    <x v="839"/>
    <d v="2018-02-14T00:00:00"/>
    <d v="2018-02-01T00:00:00"/>
    <s v="Standard Class"/>
    <s v="TP-21415"/>
    <s v="Tom Prescott"/>
    <x v="0"/>
    <s v="United States"/>
    <s v="Houston"/>
    <s v="Texas"/>
    <n v="77070"/>
    <x v="2"/>
    <s v="OFF-BI-10004584"/>
    <x v="1"/>
    <x v="5"/>
    <s v="GBC ProClick 150 Presentation Binding System"/>
    <n v="252784"/>
  </r>
  <r>
    <s v="CA-2017-112123"/>
    <x v="840"/>
    <d v="2017-03-08T00:00:00"/>
    <d v="2017-03-01T00:00:00"/>
    <s v="Standard Class"/>
    <s v="BH-11710"/>
    <s v="Brosina Hoffman"/>
    <x v="0"/>
    <s v="United States"/>
    <s v="Newark"/>
    <s v="Delaware"/>
    <n v="19711"/>
    <x v="3"/>
    <s v="OFF-BI-10001071"/>
    <x v="1"/>
    <x v="5"/>
    <s v="GBC ProClick Punch Binding System"/>
    <n v="44786"/>
  </r>
  <r>
    <s v="CA-2016-114468"/>
    <x v="841"/>
    <d v="2016-08-23T00:00:00"/>
    <d v="2016-08-01T00:00:00"/>
    <s v="Same Day"/>
    <s v="TD-20995"/>
    <s v="Tamara Dahlen"/>
    <x v="0"/>
    <s v="United States"/>
    <s v="Bolingbrook"/>
    <s v="Illinois"/>
    <n v="60440"/>
    <x v="2"/>
    <s v="OFF-SU-10004231"/>
    <x v="1"/>
    <x v="16"/>
    <s v="Acme Tagit Stainless Steel Antibacterial Scissors"/>
    <n v="3168"/>
  </r>
  <r>
    <s v="CA-2018-135692"/>
    <x v="842"/>
    <d v="2018-05-01T00:00:00"/>
    <d v="2018-04-01T00:00:00"/>
    <s v="Standard Class"/>
    <s v="CV-12805"/>
    <s v="Cynthia Voltz"/>
    <x v="1"/>
    <s v="United States"/>
    <s v="Fort Worth"/>
    <s v="Texas"/>
    <n v="76106"/>
    <x v="2"/>
    <s v="OFF-LA-10001158"/>
    <x v="1"/>
    <x v="1"/>
    <s v="Avery Address/Shipping Labels for Typewriters, 4&quot; x 2&quot;"/>
    <n v="3312"/>
  </r>
  <r>
    <s v="CA-2017-120558"/>
    <x v="843"/>
    <d v="2017-06-10T00:00:00"/>
    <d v="2017-06-01T00:00:00"/>
    <s v="First Class"/>
    <s v="RD-19810"/>
    <s v="Ross DeVincentis"/>
    <x v="2"/>
    <s v="United States"/>
    <s v="New York City"/>
    <s v="New York"/>
    <n v="10035"/>
    <x v="3"/>
    <s v="OFF-PA-10003441"/>
    <x v="1"/>
    <x v="4"/>
    <s v="Xerox 226"/>
    <n v="324"/>
  </r>
  <r>
    <s v="US-2017-133879"/>
    <x v="844"/>
    <d v="2017-03-28T00:00:00"/>
    <d v="2017-03-01T00:00:00"/>
    <s v="Standard Class"/>
    <s v="KT-16465"/>
    <s v="Kean Takahito"/>
    <x v="0"/>
    <s v="United States"/>
    <s v="Chicago"/>
    <s v="Illinois"/>
    <n v="60623"/>
    <x v="2"/>
    <s v="OFF-BI-10004465"/>
    <x v="1"/>
    <x v="5"/>
    <s v="Avery Durable Slant Ring Binders"/>
    <n v="3168"/>
  </r>
  <r>
    <s v="CA-2015-123498"/>
    <x v="845"/>
    <d v="2015-11-09T00:00:00"/>
    <d v="2015-11-01T00:00:00"/>
    <s v="First Class"/>
    <s v="TC-20980"/>
    <s v="Tamara Chand"/>
    <x v="1"/>
    <s v="United States"/>
    <s v="Houston"/>
    <s v="Texas"/>
    <n v="77041"/>
    <x v="2"/>
    <s v="OFF-BI-10000632"/>
    <x v="1"/>
    <x v="5"/>
    <s v="Satellite Sectional Post Binders"/>
    <n v="26046"/>
  </r>
  <r>
    <s v="CA-2018-159352"/>
    <x v="846"/>
    <d v="2018-03-17T00:00:00"/>
    <d v="2018-03-01T00:00:00"/>
    <s v="Standard Class"/>
    <s v="KB-16585"/>
    <s v="Ken Black"/>
    <x v="1"/>
    <s v="United States"/>
    <s v="Lowell"/>
    <s v="Massachusetts"/>
    <n v="1852"/>
    <x v="3"/>
    <s v="TEC-PH-10004700"/>
    <x v="2"/>
    <x v="10"/>
    <s v="PowerGen Dual USB Car Charger"/>
    <n v="6993"/>
  </r>
  <r>
    <s v="CA-2018-109750"/>
    <x v="847"/>
    <d v="2018-07-28T00:00:00"/>
    <d v="2018-07-01T00:00:00"/>
    <s v="Standard Class"/>
    <s v="FH-14365"/>
    <s v="Fred Hopkins"/>
    <x v="1"/>
    <s v="United States"/>
    <s v="New York City"/>
    <s v="New York"/>
    <n v="10009"/>
    <x v="3"/>
    <s v="TEC-PH-10000702"/>
    <x v="2"/>
    <x v="10"/>
    <s v="Square Credit Card Reader, 4 1/2&quot; x 4 1/2&quot; x 1&quot;, White"/>
    <n v="2997"/>
  </r>
  <r>
    <s v="CA-2016-149384"/>
    <x v="848"/>
    <d v="2016-07-10T00:00:00"/>
    <d v="2016-07-01T00:00:00"/>
    <s v="Same Day"/>
    <s v="EH-13945"/>
    <s v="Eric Hoffmann"/>
    <x v="0"/>
    <s v="United States"/>
    <s v="Tempe"/>
    <s v="Arizona"/>
    <n v="85281"/>
    <x v="1"/>
    <s v="OFF-BI-10003196"/>
    <x v="1"/>
    <x v="5"/>
    <s v="Accohide Poly Flexible Ring Binders"/>
    <n v="3366"/>
  </r>
  <r>
    <s v="CA-2015-158372"/>
    <x v="849"/>
    <d v="2015-11-16T00:00:00"/>
    <d v="2015-11-01T00:00:00"/>
    <s v="Standard Class"/>
    <s v="RD-19900"/>
    <s v="Ruben Dartt"/>
    <x v="0"/>
    <s v="United States"/>
    <s v="San Diego"/>
    <s v="California"/>
    <n v="92037"/>
    <x v="1"/>
    <s v="TEC-PH-10002103"/>
    <x v="2"/>
    <x v="10"/>
    <s v="Jabra SPEAK 410"/>
    <n v="601536"/>
  </r>
  <r>
    <s v="CA-2017-108882"/>
    <x v="850"/>
    <d v="2017-01-15T00:00:00"/>
    <d v="2017-01-01T00:00:00"/>
    <s v="Standard Class"/>
    <s v="LA-16780"/>
    <s v="Laura Armstrong"/>
    <x v="1"/>
    <s v="United States"/>
    <s v="Fresno"/>
    <s v="California"/>
    <n v="93727"/>
    <x v="1"/>
    <s v="TEC-AC-10000420"/>
    <x v="2"/>
    <x v="12"/>
    <s v="Logitech G500s Laser Gaming Mouse with Adjustable Weight Tuning"/>
    <n v="34995"/>
  </r>
  <r>
    <s v="CA-2015-142314"/>
    <x v="851"/>
    <d v="2015-12-28T00:00:00"/>
    <d v="2015-12-01T00:00:00"/>
    <s v="Standard Class"/>
    <s v="SF-20200"/>
    <s v="Sarah Foster"/>
    <x v="0"/>
    <s v="United States"/>
    <s v="Richmond"/>
    <s v="Indiana"/>
    <n v="47374"/>
    <x v="2"/>
    <s v="OFF-AP-10002350"/>
    <x v="1"/>
    <x v="6"/>
    <s v="Belkin F9H710-06 7 Outlet SurgeMaster Surge Protector"/>
    <n v="20724"/>
  </r>
  <r>
    <s v="CA-2015-108189"/>
    <x v="852"/>
    <d v="2015-10-05T00:00:00"/>
    <d v="2015-10-01T00:00:00"/>
    <s v="First Class"/>
    <s v="ES-14080"/>
    <s v="Erin Smith"/>
    <x v="1"/>
    <s v="United States"/>
    <s v="Tempe"/>
    <s v="Arizona"/>
    <n v="85281"/>
    <x v="1"/>
    <s v="OFF-PA-10001838"/>
    <x v="1"/>
    <x v="4"/>
    <s v="Adams Telephone Message Book W/Dividers/Space For Phone Numbers, 5 1/4&quot;X8 1/2&quot;, 300/Messages"/>
    <n v="9408"/>
  </r>
  <r>
    <s v="CA-2018-131625"/>
    <x v="853"/>
    <d v="2018-09-05T00:00:00"/>
    <d v="2018-09-01T00:00:00"/>
    <s v="Second Class"/>
    <s v="BN-11515"/>
    <s v="Bradley Nguyen"/>
    <x v="0"/>
    <s v="United States"/>
    <s v="New York City"/>
    <s v="New York"/>
    <n v="10009"/>
    <x v="3"/>
    <s v="FUR-FU-10004960"/>
    <x v="0"/>
    <x v="3"/>
    <s v="Seth Thomas 12&quot; Clock w/ Goldtone Case"/>
    <n v="1149"/>
  </r>
  <r>
    <s v="US-2017-140809"/>
    <x v="854"/>
    <d v="2017-02-03T00:00:00"/>
    <d v="2017-02-01T00:00:00"/>
    <s v="First Class"/>
    <s v="CK-12760"/>
    <s v="Cyma Kinney"/>
    <x v="1"/>
    <s v="United States"/>
    <s v="Arlington"/>
    <s v="Virginia"/>
    <n v="22204"/>
    <x v="0"/>
    <s v="OFF-ST-10002214"/>
    <x v="1"/>
    <x v="7"/>
    <s v="X-Rack File for Hanging Folders"/>
    <n v="5645"/>
  </r>
  <r>
    <s v="CA-2018-110373"/>
    <x v="855"/>
    <d v="2018-10-30T00:00:00"/>
    <d v="2018-10-01T00:00:00"/>
    <s v="Second Class"/>
    <s v="MA-17560"/>
    <s v="Matt Abelman"/>
    <x v="2"/>
    <s v="United States"/>
    <s v="Chicago"/>
    <s v="Illinois"/>
    <n v="60610"/>
    <x v="2"/>
    <s v="OFF-AR-10003045"/>
    <x v="1"/>
    <x v="8"/>
    <s v="Prang Colored Pencils"/>
    <n v="7056"/>
  </r>
  <r>
    <s v="US-2015-126571"/>
    <x v="856"/>
    <d v="2015-10-15T00:00:00"/>
    <d v="2015-10-01T00:00:00"/>
    <s v="Standard Class"/>
    <s v="JF-15565"/>
    <s v="Jill Fjeld"/>
    <x v="0"/>
    <s v="United States"/>
    <s v="Philadelphia"/>
    <s v="Pennsylvania"/>
    <n v="19120"/>
    <x v="3"/>
    <s v="OFF-ST-10003816"/>
    <x v="1"/>
    <x v="7"/>
    <s v="Fellowes High-Stak Drawer Files"/>
    <n v="281904"/>
  </r>
  <r>
    <s v="CA-2015-143840"/>
    <x v="857"/>
    <d v="2015-05-29T00:00:00"/>
    <d v="2015-05-01T00:00:00"/>
    <s v="Standard Class"/>
    <s v="EH-14185"/>
    <s v="Evan Henry"/>
    <x v="0"/>
    <s v="United States"/>
    <s v="Decatur"/>
    <s v="Alabama"/>
    <n v="35601"/>
    <x v="0"/>
    <s v="TEC-PH-10002660"/>
    <x v="2"/>
    <x v="10"/>
    <s v="Nortel Networks T7316 E Nt8 B27"/>
    <n v="13598"/>
  </r>
  <r>
    <s v="CA-2015-115980"/>
    <x v="858"/>
    <d v="2015-07-19T00:00:00"/>
    <d v="2015-07-01T00:00:00"/>
    <s v="Standard Class"/>
    <s v="VW-21775"/>
    <s v="Victoria Wilson"/>
    <x v="1"/>
    <s v="United States"/>
    <s v="Sioux Falls"/>
    <s v="South Dakota"/>
    <n v="57103"/>
    <x v="2"/>
    <s v="TEC-AC-10003709"/>
    <x v="2"/>
    <x v="12"/>
    <s v="Maxell 4.7GB DVD-R 5/Pack"/>
    <n v="297"/>
  </r>
  <r>
    <s v="CA-2017-167290"/>
    <x v="859"/>
    <d v="2017-11-04T00:00:00"/>
    <d v="2017-10-01T00:00:00"/>
    <s v="Standard Class"/>
    <s v="JF-15295"/>
    <s v="Jason Fortune-"/>
    <x v="0"/>
    <s v="United States"/>
    <s v="Sterling Heights"/>
    <s v="Michigan"/>
    <n v="48310"/>
    <x v="2"/>
    <s v="OFF-AR-10004078"/>
    <x v="1"/>
    <x v="8"/>
    <s v="Newell 312"/>
    <n v="1168"/>
  </r>
  <r>
    <s v="CA-2015-138023"/>
    <x v="860"/>
    <d v="2015-08-18T00:00:00"/>
    <d v="2015-08-01T00:00:00"/>
    <s v="First Class"/>
    <s v="KH-16510"/>
    <s v="Keith Herrera"/>
    <x v="0"/>
    <s v="United States"/>
    <s v="Dallas"/>
    <s v="Texas"/>
    <n v="75081"/>
    <x v="2"/>
    <s v="OFF-BI-10003638"/>
    <x v="1"/>
    <x v="5"/>
    <s v="GBC Durable Plastic Covers"/>
    <n v="3096"/>
  </r>
  <r>
    <s v="CA-2016-165057"/>
    <x v="861"/>
    <d v="2016-09-15T00:00:00"/>
    <d v="2016-09-01T00:00:00"/>
    <s v="Standard Class"/>
    <s v="SC-20725"/>
    <s v="Steven Cartwright"/>
    <x v="0"/>
    <s v="United States"/>
    <s v="Redlands"/>
    <s v="California"/>
    <n v="92374"/>
    <x v="1"/>
    <s v="OFF-AR-10004648"/>
    <x v="1"/>
    <x v="8"/>
    <s v="Boston 19500 Mighty Mite Electric Pencil Sharpener"/>
    <n v="18135"/>
  </r>
  <r>
    <s v="CA-2016-120810"/>
    <x v="862"/>
    <d v="2016-07-27T00:00:00"/>
    <d v="2016-07-01T00:00:00"/>
    <s v="Standard Class"/>
    <s v="TH-21550"/>
    <s v="Tracy Hopkins"/>
    <x v="2"/>
    <s v="United States"/>
    <s v="New York City"/>
    <s v="New York"/>
    <n v="10009"/>
    <x v="3"/>
    <s v="OFF-AP-10002892"/>
    <x v="1"/>
    <x v="6"/>
    <s v="Belkin F5C206VTEL 6 Outlet Surge"/>
    <n v="6894"/>
  </r>
  <r>
    <s v="CA-2016-112014"/>
    <x v="863"/>
    <d v="2016-08-20T00:00:00"/>
    <d v="2016-08-01T00:00:00"/>
    <s v="Standard Class"/>
    <s v="ON-18715"/>
    <s v="Odella Nelson"/>
    <x v="1"/>
    <s v="United States"/>
    <s v="Yucaipa"/>
    <s v="California"/>
    <n v="92399"/>
    <x v="1"/>
    <s v="OFF-AR-10003156"/>
    <x v="1"/>
    <x v="8"/>
    <s v="50 Colored Long Pencils"/>
    <n v="508"/>
  </r>
  <r>
    <s v="US-2017-157308"/>
    <x v="864"/>
    <d v="2017-08-21T00:00:00"/>
    <d v="2017-08-01T00:00:00"/>
    <s v="Standard Class"/>
    <s v="NM-18520"/>
    <s v="Neoma Murray"/>
    <x v="0"/>
    <s v="United States"/>
    <s v="Seattle"/>
    <s v="Washington"/>
    <n v="98105"/>
    <x v="1"/>
    <s v="OFF-BI-10003712"/>
    <x v="1"/>
    <x v="5"/>
    <s v="Acco Pressboard Covers with Storage Hooks, 14 7/8&quot; x 11&quot;, Light Blue"/>
    <n v="15712"/>
  </r>
  <r>
    <s v="US-2015-134733"/>
    <x v="865"/>
    <d v="2015-09-28T00:00:00"/>
    <d v="2015-09-01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999"/>
  </r>
  <r>
    <s v="US-2015-150434"/>
    <x v="866"/>
    <d v="2015-07-24T00:00:00"/>
    <d v="2015-07-01T00:00:00"/>
    <s v="Standard Class"/>
    <s v="CA-12310"/>
    <s v="Christine Abelman"/>
    <x v="1"/>
    <s v="United States"/>
    <s v="Bristol"/>
    <s v="Connecticut"/>
    <n v="6010"/>
    <x v="3"/>
    <s v="TEC-PH-10000895"/>
    <x v="2"/>
    <x v="10"/>
    <s v="Polycom VVX 310 VoIP phone"/>
    <n v="35998"/>
  </r>
  <r>
    <s v="CA-2015-115161"/>
    <x v="867"/>
    <d v="2015-02-02T00:00:00"/>
    <d v="2015-01-01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666"/>
  </r>
  <r>
    <s v="CA-2015-165379"/>
    <x v="868"/>
    <d v="2015-07-15T00:00:00"/>
    <d v="2015-07-01T00:00:00"/>
    <s v="Standard Class"/>
    <s v="BM-11650"/>
    <s v="Brian Moss"/>
    <x v="1"/>
    <s v="United States"/>
    <s v="Dallas"/>
    <s v="Texas"/>
    <n v="75217"/>
    <x v="2"/>
    <s v="OFF-PA-10003072"/>
    <x v="1"/>
    <x v="4"/>
    <s v="Eureka Recycled Copy Paper 8 1/2&quot; x 11&quot;, Ream"/>
    <n v="10368"/>
  </r>
  <r>
    <s v="CA-2017-134887"/>
    <x v="869"/>
    <d v="2017-03-25T00:00:00"/>
    <d v="2017-03-01T00:00:00"/>
    <s v="Same Day"/>
    <s v="TB-21280"/>
    <s v="Toby Braunhardt"/>
    <x v="0"/>
    <s v="United States"/>
    <s v="Norman"/>
    <s v="Oklahoma"/>
    <n v="73071"/>
    <x v="2"/>
    <s v="TEC-AC-10003832"/>
    <x v="2"/>
    <x v="12"/>
    <s v="Logitech P710e Mobile Speakerphone"/>
    <n v="128745"/>
  </r>
  <r>
    <s v="US-2018-148362"/>
    <x v="870"/>
    <d v="2018-07-08T00:00:00"/>
    <d v="2018-07-01T00:00:00"/>
    <s v="Standard Class"/>
    <s v="KF-16285"/>
    <s v="Karen Ferguson"/>
    <x v="2"/>
    <s v="United States"/>
    <s v="Indianapolis"/>
    <s v="Indiana"/>
    <n v="46203"/>
    <x v="2"/>
    <s v="OFF-ST-10001128"/>
    <x v="1"/>
    <x v="7"/>
    <s v="Carina Mini System Audio Rack, Model AR050B"/>
    <n v="44392"/>
  </r>
  <r>
    <s v="CA-2015-102274"/>
    <x v="871"/>
    <d v="2015-11-26T00:00:00"/>
    <d v="2015-11-01T00:00:00"/>
    <s v="Standard Class"/>
    <s v="DH-13075"/>
    <s v="Dave Hallsten"/>
    <x v="1"/>
    <s v="United States"/>
    <s v="Richmond"/>
    <s v="Kentucky"/>
    <n v="40475"/>
    <x v="0"/>
    <s v="TEC-PH-10002923"/>
    <x v="2"/>
    <x v="10"/>
    <s v="Logitech B530 USB Headset - headset - Full size, Binaural"/>
    <n v="3699"/>
  </r>
  <r>
    <s v="CA-2016-152527"/>
    <x v="872"/>
    <d v="2016-10-17T00:00:00"/>
    <d v="2016-10-01T00:00:00"/>
    <s v="Same Day"/>
    <s v="CM-12190"/>
    <s v="Charlotte Melton"/>
    <x v="0"/>
    <s v="United States"/>
    <s v="Los Angeles"/>
    <s v="California"/>
    <n v="90004"/>
    <x v="1"/>
    <s v="OFF-ST-10003479"/>
    <x v="1"/>
    <x v="7"/>
    <s v="Eldon Base for stackable storage shelf, platinum"/>
    <n v="7788"/>
  </r>
  <r>
    <s v="CA-2017-100244"/>
    <x v="873"/>
    <d v="2017-09-24T00:00:00"/>
    <d v="2017-09-01T00:00:00"/>
    <s v="Standard Class"/>
    <s v="GM-14695"/>
    <s v="Greg Maxwell"/>
    <x v="1"/>
    <s v="United States"/>
    <s v="San Francisco"/>
    <s v="California"/>
    <n v="94122"/>
    <x v="1"/>
    <s v="OFF-PA-10001471"/>
    <x v="1"/>
    <x v="4"/>
    <s v="Strathmore Photo Frame Cards"/>
    <n v="6579"/>
  </r>
  <r>
    <s v="US-2016-100531"/>
    <x v="874"/>
    <d v="2016-09-29T00:00:00"/>
    <d v="2016-09-01T00:00:00"/>
    <s v="First Class"/>
    <s v="NM-18520"/>
    <s v="Neoma Murray"/>
    <x v="0"/>
    <s v="United States"/>
    <s v="Chicago"/>
    <s v="Illinois"/>
    <n v="60610"/>
    <x v="2"/>
    <s v="OFF-BI-10001670"/>
    <x v="1"/>
    <x v="5"/>
    <s v="Vinyl Sectional Post Binders"/>
    <n v="1508"/>
  </r>
  <r>
    <s v="CA-2017-116344"/>
    <x v="875"/>
    <d v="2017-08-02T00:00:00"/>
    <d v="2017-07-01T00:00:00"/>
    <s v="Standard Class"/>
    <s v="JO-15145"/>
    <s v="Jack O'Briant"/>
    <x v="1"/>
    <s v="United States"/>
    <s v="Philadelphia"/>
    <s v="Pennsylvania"/>
    <n v="19140"/>
    <x v="3"/>
    <s v="OFF-ST-10001713"/>
    <x v="1"/>
    <x v="7"/>
    <s v="Gould Plastics 9-Pocket Panel Bin, 18-3/8w x 5-1/4d x 20-1/2h, Black"/>
    <n v="84784"/>
  </r>
  <r>
    <s v="CA-2017-158869"/>
    <x v="876"/>
    <d v="2017-08-07T00:00:00"/>
    <d v="2017-08-01T00:00:00"/>
    <s v="First Class"/>
    <s v="AH-10690"/>
    <s v="Anna Häberlin"/>
    <x v="1"/>
    <s v="United States"/>
    <s v="New York City"/>
    <s v="New York"/>
    <n v="10024"/>
    <x v="3"/>
    <s v="OFF-PA-10000474"/>
    <x v="1"/>
    <x v="4"/>
    <s v="Easy-staple paper"/>
    <n v="7088"/>
  </r>
  <r>
    <s v="CA-2017-162614"/>
    <x v="877"/>
    <d v="2017-10-13T00:00:00"/>
    <d v="2017-10-01T00:00:00"/>
    <s v="Standard Class"/>
    <s v="TB-21250"/>
    <s v="Tim Brockman"/>
    <x v="0"/>
    <s v="United States"/>
    <s v="Los Angeles"/>
    <s v="California"/>
    <n v="90049"/>
    <x v="1"/>
    <s v="OFF-BI-10004001"/>
    <x v="1"/>
    <x v="5"/>
    <s v="GBC Recycled VeloBinder Covers"/>
    <n v="27264"/>
  </r>
  <r>
    <s v="CA-2015-157609"/>
    <x v="878"/>
    <d v="2015-03-21T00:00:00"/>
    <d v="2015-03-01T00:00:00"/>
    <s v="Second Class"/>
    <s v="KN-16705"/>
    <s v="Kristina Nunn"/>
    <x v="2"/>
    <s v="United States"/>
    <s v="Raleigh"/>
    <s v="North Carolina"/>
    <n v="27604"/>
    <x v="0"/>
    <s v="TEC-PH-10002415"/>
    <x v="2"/>
    <x v="10"/>
    <s v="Polycom VoiceStation 500 Conference phone"/>
    <n v="47192"/>
  </r>
  <r>
    <s v="CA-2016-153325"/>
    <x v="879"/>
    <d v="2016-03-02T00:00:00"/>
    <d v="2016-03-01T00:00:00"/>
    <s v="Second Class"/>
    <s v="ST-20530"/>
    <s v="Shui Tom"/>
    <x v="0"/>
    <s v="United States"/>
    <s v="Macon"/>
    <s v="Georgia"/>
    <n v="31204"/>
    <x v="0"/>
    <s v="OFF-BI-10004236"/>
    <x v="1"/>
    <x v="5"/>
    <s v="XtraLife ClearVue Slant-D Ring Binder, White, 3&quot;"/>
    <n v="5872"/>
  </r>
  <r>
    <s v="CA-2017-166485"/>
    <x v="880"/>
    <d v="2017-02-27T00:00:00"/>
    <d v="2017-02-01T00:00:00"/>
    <s v="Standard Class"/>
    <s v="AH-10210"/>
    <s v="Alan Hwang"/>
    <x v="0"/>
    <s v="United States"/>
    <s v="Nashville"/>
    <s v="Tennessee"/>
    <n v="37211"/>
    <x v="0"/>
    <s v="OFF-PA-10004996"/>
    <x v="1"/>
    <x v="4"/>
    <s v="Speediset Carbonless Redi-Letter 7&quot; x 8 1/2&quot;"/>
    <n v="16496"/>
  </r>
  <r>
    <s v="CA-2017-165470"/>
    <x v="881"/>
    <d v="2017-11-30T00:00:00"/>
    <d v="2017-11-01T00:00:00"/>
    <s v="Standard Class"/>
    <s v="HJ-14875"/>
    <s v="Heather Jas"/>
    <x v="2"/>
    <s v="United States"/>
    <s v="Jacksonville"/>
    <s v="Florida"/>
    <n v="32216"/>
    <x v="0"/>
    <s v="OFF-PA-10004675"/>
    <x v="1"/>
    <x v="4"/>
    <s v="Telephone Message Books with Fax/Mobile Section, 5 1/2&quot; x 3 3/16&quot;"/>
    <n v="508"/>
  </r>
  <r>
    <s v="CA-2017-146143"/>
    <x v="882"/>
    <d v="2017-12-19T00:00:00"/>
    <d v="2017-12-01T00:00:00"/>
    <s v="Standard Class"/>
    <s v="MC-17845"/>
    <s v="Michael Chen"/>
    <x v="0"/>
    <s v="United States"/>
    <s v="Jackson"/>
    <s v="Mississippi"/>
    <n v="39212"/>
    <x v="0"/>
    <s v="FUR-FU-10002045"/>
    <x v="0"/>
    <x v="3"/>
    <s v="Executive Impressions 14&quot;"/>
    <n v="13338"/>
  </r>
  <r>
    <s v="CA-2015-143385"/>
    <x v="883"/>
    <d v="2015-09-05T00:00:00"/>
    <d v="2015-08-01T00:00:00"/>
    <s v="Standard Class"/>
    <s v="SJ-20500"/>
    <s v="Shirley Jackson"/>
    <x v="0"/>
    <s v="United States"/>
    <s v="Santa Fe"/>
    <s v="New Mexico"/>
    <n v="87505"/>
    <x v="1"/>
    <s v="TEC-AC-10001635"/>
    <x v="2"/>
    <x v="12"/>
    <s v="KeyTronic KT400U2 - Keyboard - Black"/>
    <n v="9252"/>
  </r>
  <r>
    <s v="CA-2015-124023"/>
    <x v="884"/>
    <d v="2015-04-10T00:00:00"/>
    <d v="2015-04-01T00:00:00"/>
    <s v="First Class"/>
    <s v="PJ-19015"/>
    <s v="Pauline Johnson"/>
    <x v="0"/>
    <s v="United States"/>
    <s v="Mobile"/>
    <s v="Alabama"/>
    <n v="36608"/>
    <x v="0"/>
    <s v="FUR-FU-10004415"/>
    <x v="0"/>
    <x v="3"/>
    <s v="Stacking Tray, Side-Loading, Legal, Smoke"/>
    <n v="896"/>
  </r>
  <r>
    <s v="US-2017-134761"/>
    <x v="885"/>
    <d v="2017-11-30T00:00:00"/>
    <d v="2017-11-01T00:00:00"/>
    <s v="Same Day"/>
    <s v="DB-13210"/>
    <s v="Dean Braden"/>
    <x v="0"/>
    <s v="United States"/>
    <s v="Hickory"/>
    <s v="North Carolina"/>
    <n v="28601"/>
    <x v="0"/>
    <s v="TEC-PH-10002890"/>
    <x v="2"/>
    <x v="10"/>
    <s v="AT&amp;T 17929 Lendline Telephone"/>
    <n v="36192"/>
  </r>
  <r>
    <s v="CA-2015-166863"/>
    <x v="886"/>
    <d v="2015-06-24T00:00:00"/>
    <d v="2015-06-01T00:00:00"/>
    <s v="Standard Class"/>
    <s v="SC-20020"/>
    <s v="Sam Craven"/>
    <x v="0"/>
    <s v="United States"/>
    <s v="Plano"/>
    <s v="Texas"/>
    <n v="75023"/>
    <x v="2"/>
    <s v="TEC-PH-10000369"/>
    <x v="2"/>
    <x v="10"/>
    <s v="HTC One Mini"/>
    <n v="201584"/>
  </r>
  <r>
    <s v="CA-2017-168536"/>
    <x v="887"/>
    <d v="2017-12-24T00:00:00"/>
    <d v="2017-12-01T00:00:00"/>
    <s v="Standard Class"/>
    <s v="SC-20800"/>
    <s v="Stuart Calhoun"/>
    <x v="0"/>
    <s v="United States"/>
    <s v="Jackson"/>
    <s v="Mississippi"/>
    <n v="39212"/>
    <x v="0"/>
    <s v="TEC-AC-10002323"/>
    <x v="2"/>
    <x v="12"/>
    <s v="SanDisk Ultra 32 GB MicroSDHC Class 10 Memory Card"/>
    <n v="663"/>
  </r>
  <r>
    <s v="US-2017-113649"/>
    <x v="888"/>
    <d v="2017-08-12T00:00:00"/>
    <d v="2017-08-01T00:00:00"/>
    <s v="First Class"/>
    <s v="HA-14920"/>
    <s v="Helen Andreada"/>
    <x v="0"/>
    <s v="United States"/>
    <s v="Fayetteville"/>
    <s v="North Carolina"/>
    <n v="28314"/>
    <x v="0"/>
    <s v="OFF-PA-10000130"/>
    <x v="1"/>
    <x v="4"/>
    <s v="Xerox 199"/>
    <n v="30816"/>
  </r>
  <r>
    <s v="CA-2016-168767"/>
    <x v="889"/>
    <d v="2016-04-15T00:00:00"/>
    <d v="2016-04-01T00:00:00"/>
    <s v="Standard Class"/>
    <s v="DM-12955"/>
    <s v="Dario Medina"/>
    <x v="1"/>
    <s v="United States"/>
    <s v="Sacramento"/>
    <s v="California"/>
    <n v="95823"/>
    <x v="1"/>
    <s v="OFF-BI-10000773"/>
    <x v="1"/>
    <x v="5"/>
    <s v="Insertable Tab Post Binder Dividers"/>
    <n v="12832"/>
  </r>
  <r>
    <s v="CA-2017-130680"/>
    <x v="890"/>
    <d v="2017-06-29T00:00:00"/>
    <d v="2017-06-01T00:00:00"/>
    <s v="Standard Class"/>
    <s v="BD-11320"/>
    <s v="Bill Donatelli"/>
    <x v="0"/>
    <s v="United States"/>
    <s v="San Diego"/>
    <s v="California"/>
    <n v="92024"/>
    <x v="1"/>
    <s v="TEC-PH-10004833"/>
    <x v="2"/>
    <x v="10"/>
    <s v="Macally Suction Cup Mount"/>
    <n v="3824"/>
  </r>
  <r>
    <s v="CA-2015-110849"/>
    <x v="891"/>
    <d v="2015-04-23T00:00:00"/>
    <d v="2015-04-01T00:00:00"/>
    <s v="Standard Class"/>
    <s v="JL-15835"/>
    <s v="John Lee"/>
    <x v="0"/>
    <s v="United States"/>
    <s v="Los Angeles"/>
    <s v="California"/>
    <n v="90049"/>
    <x v="1"/>
    <s v="TEC-MA-10002859"/>
    <x v="2"/>
    <x v="14"/>
    <s v="Ativa MDM8000 8-Sheet Micro-Cut Shredder"/>
    <n v="287968"/>
  </r>
  <r>
    <s v="CA-2017-152555"/>
    <x v="892"/>
    <d v="2017-04-02T00:00:00"/>
    <d v="2017-03-01T00:00:00"/>
    <s v="Second Class"/>
    <s v="ME-17320"/>
    <s v="Maria Etezadi"/>
    <x v="2"/>
    <s v="United States"/>
    <s v="Chicago"/>
    <s v="Illinois"/>
    <n v="60653"/>
    <x v="2"/>
    <s v="OFF-PA-10001295"/>
    <x v="1"/>
    <x v="4"/>
    <s v="Computer Printout Paper with Letter-Trim Perforations"/>
    <n v="45528"/>
  </r>
  <r>
    <s v="CA-2015-120838"/>
    <x v="893"/>
    <d v="2015-03-26T00:00:00"/>
    <d v="2015-03-01T00:00:00"/>
    <s v="Second Class"/>
    <s v="PO-18865"/>
    <s v="Patrick O'Donnell"/>
    <x v="0"/>
    <s v="United States"/>
    <s v="Los Angeles"/>
    <s v="California"/>
    <n v="90036"/>
    <x v="1"/>
    <s v="OFF-ST-10000585"/>
    <x v="1"/>
    <x v="7"/>
    <s v="Economy Rollaway Files"/>
    <n v="3304"/>
  </r>
  <r>
    <s v="CA-2017-130029"/>
    <x v="894"/>
    <d v="2017-07-06T00:00:00"/>
    <d v="2017-07-01T00:00:00"/>
    <s v="First Class"/>
    <s v="GT-14755"/>
    <s v="Guy Thornton"/>
    <x v="0"/>
    <s v="United States"/>
    <s v="Los Angeles"/>
    <s v="California"/>
    <n v="90049"/>
    <x v="1"/>
    <s v="OFF-PA-10000552"/>
    <x v="1"/>
    <x v="4"/>
    <s v="Xerox 200"/>
    <n v="1296"/>
  </r>
  <r>
    <s v="CA-2016-121650"/>
    <x v="895"/>
    <d v="2016-12-16T00:00:00"/>
    <d v="2016-12-01T00:00:00"/>
    <s v="Standard Class"/>
    <s v="KD-16495"/>
    <s v="Keith Dawkins"/>
    <x v="1"/>
    <s v="United States"/>
    <s v="Jackson"/>
    <s v="Michigan"/>
    <n v="49201"/>
    <x v="2"/>
    <s v="OFF-AR-10001149"/>
    <x v="1"/>
    <x v="8"/>
    <s v="Avery Hi-Liter Comfort Grip Fluorescent Highlighter, Yellow Ink"/>
    <n v="39"/>
  </r>
  <r>
    <s v="US-2017-131674"/>
    <x v="896"/>
    <d v="2017-12-01T00:00:00"/>
    <d v="2017-11-01T00:00:00"/>
    <s v="Second Class"/>
    <s v="NC-18535"/>
    <s v="Nick Crebassa"/>
    <x v="1"/>
    <s v="United States"/>
    <s v="Dallas"/>
    <s v="Texas"/>
    <n v="75217"/>
    <x v="2"/>
    <s v="TEC-AC-10004864"/>
    <x v="2"/>
    <x v="12"/>
    <s v="Memorex Micro Travel Drive 32 GB"/>
    <n v="58416"/>
  </r>
  <r>
    <s v="CA-2017-109743"/>
    <x v="897"/>
    <d v="2017-09-29T00:00:00"/>
    <d v="2017-09-01T00:00:00"/>
    <s v="Standard Class"/>
    <s v="SH-19975"/>
    <s v="Sally Hughsby"/>
    <x v="1"/>
    <s v="United States"/>
    <s v="Smyrna"/>
    <s v="Tennessee"/>
    <n v="37167"/>
    <x v="0"/>
    <s v="OFF-AR-10003727"/>
    <x v="1"/>
    <x v="8"/>
    <s v="Berol Giant Pencil Sharpener"/>
    <n v="40776"/>
  </r>
  <r>
    <s v="CA-2018-132178"/>
    <x v="898"/>
    <d v="2018-05-08T00:00:00"/>
    <d v="2018-05-01T00:00:00"/>
    <s v="Second Class"/>
    <s v="DB-12970"/>
    <s v="Darren Budd"/>
    <x v="1"/>
    <s v="United States"/>
    <s v="Los Angeles"/>
    <s v="California"/>
    <n v="90004"/>
    <x v="1"/>
    <s v="OFF-ST-10000464"/>
    <x v="1"/>
    <x v="7"/>
    <s v="Multi-Use Personal File Cart and Caster Set, Three Stacking Bins"/>
    <n v="6952"/>
  </r>
  <r>
    <s v="CA-2016-128083"/>
    <x v="899"/>
    <d v="2016-03-17T00:00:00"/>
    <d v="2016-03-01T00:00:00"/>
    <s v="Standard Class"/>
    <s v="EB-13750"/>
    <s v="Edward Becker"/>
    <x v="1"/>
    <s v="United States"/>
    <s v="Plantation"/>
    <s v="Florida"/>
    <n v="33317"/>
    <x v="0"/>
    <s v="OFF-EN-10004030"/>
    <x v="1"/>
    <x v="11"/>
    <s v="Convenience Packs of Business Envelopes"/>
    <n v="8688"/>
  </r>
  <r>
    <s v="CA-2017-155005"/>
    <x v="900"/>
    <d v="2017-06-15T00:00:00"/>
    <d v="2017-06-01T00:00:00"/>
    <s v="Second Class"/>
    <s v="SC-20050"/>
    <s v="Sample Company A"/>
    <x v="2"/>
    <s v="United States"/>
    <s v="Jackson"/>
    <s v="Michigan"/>
    <n v="49201"/>
    <x v="2"/>
    <s v="TEC-PH-10003484"/>
    <x v="2"/>
    <x v="10"/>
    <s v="Ooma Telo VoIP Home Phone System"/>
    <n v="37797"/>
  </r>
  <r>
    <s v="CA-2016-156440"/>
    <x v="901"/>
    <d v="2016-12-09T00:00:00"/>
    <d v="2016-12-01T00:00:00"/>
    <s v="Standard Class"/>
    <s v="MH-17620"/>
    <s v="Matt Hagelstein"/>
    <x v="1"/>
    <s v="United States"/>
    <s v="San Diego"/>
    <s v="California"/>
    <n v="92105"/>
    <x v="1"/>
    <s v="FUR-FU-10004090"/>
    <x v="0"/>
    <x v="3"/>
    <s v="Executive Impressions 14&quot; Contract Wall Clock"/>
    <n v="4446"/>
  </r>
  <r>
    <s v="CA-2016-151680"/>
    <x v="902"/>
    <d v="2016-11-21T00:00:00"/>
    <d v="2016-11-01T00:00:00"/>
    <s v="Second Class"/>
    <s v="TC-21475"/>
    <s v="Tony Chapman"/>
    <x v="2"/>
    <s v="United States"/>
    <s v="Seattle"/>
    <s v="Washington"/>
    <n v="98115"/>
    <x v="1"/>
    <s v="FUR-FU-10000305"/>
    <x v="0"/>
    <x v="3"/>
    <s v="Tenex V2T-RE Standard Weight Series Chair Mat, 45&quot; x 53&quot;, Lip 25&quot; x 12&quot;"/>
    <n v="14196"/>
  </r>
  <r>
    <s v="CA-2018-144036"/>
    <x v="903"/>
    <d v="2018-11-26T00:00:00"/>
    <d v="2018-11-01T00:00:00"/>
    <s v="Standard Class"/>
    <s v="FO-14305"/>
    <s v="Frank Olsen"/>
    <x v="0"/>
    <s v="United States"/>
    <s v="Houston"/>
    <s v="Texas"/>
    <n v="77070"/>
    <x v="2"/>
    <s v="OFF-AR-10000122"/>
    <x v="1"/>
    <x v="8"/>
    <s v="Newell 314"/>
    <n v="35712"/>
  </r>
  <r>
    <s v="CA-2018-168193"/>
    <x v="904"/>
    <d v="2018-03-11T00:00:00"/>
    <d v="2018-03-01T00:00:00"/>
    <s v="Second Class"/>
    <s v="RM-19750"/>
    <s v="Roland Murray"/>
    <x v="0"/>
    <s v="United States"/>
    <s v="New York City"/>
    <s v="New York"/>
    <n v="10011"/>
    <x v="3"/>
    <s v="OFF-PA-10002254"/>
    <x v="1"/>
    <x v="4"/>
    <s v="Xerox 1883"/>
    <n v="2638"/>
  </r>
  <r>
    <s v="CA-2017-111283"/>
    <x v="905"/>
    <d v="2017-03-04T00:00:00"/>
    <d v="2017-02-01T00:00:00"/>
    <s v="Standard Class"/>
    <s v="LC-16870"/>
    <s v="Lena Cacioppo"/>
    <x v="0"/>
    <s v="United States"/>
    <s v="Newark"/>
    <s v="Ohio"/>
    <n v="43055"/>
    <x v="3"/>
    <s v="OFF-AR-10001615"/>
    <x v="1"/>
    <x v="8"/>
    <s v="Newell 34"/>
    <n v="111104"/>
  </r>
  <r>
    <s v="CA-2018-125878"/>
    <x v="906"/>
    <d v="2018-03-02T00:00:00"/>
    <d v="2018-02-01T00:00:00"/>
    <s v="Standard Class"/>
    <s v="MH-18025"/>
    <s v="Michelle Huthwaite"/>
    <x v="0"/>
    <s v="United States"/>
    <s v="Chicago"/>
    <s v="Illinois"/>
    <n v="60623"/>
    <x v="2"/>
    <s v="OFF-BI-10002609"/>
    <x v="1"/>
    <x v="5"/>
    <s v="Avery Hidden Tab Dividers for Binding Systems"/>
    <n v="1788"/>
  </r>
  <r>
    <s v="CA-2017-155530"/>
    <x v="907"/>
    <d v="2017-12-21T00:00:00"/>
    <d v="2017-12-01T00:00:00"/>
    <s v="Standard Class"/>
    <s v="CM-12160"/>
    <s v="Charles McCrossin"/>
    <x v="0"/>
    <s v="United States"/>
    <s v="San Francisco"/>
    <s v="California"/>
    <n v="94122"/>
    <x v="1"/>
    <s v="FUR-TA-10004256"/>
    <x v="0"/>
    <x v="2"/>
    <s v="Bretford “Just In Time” Height-Adjustable Multi-Task Work Tables"/>
    <n v="200352"/>
  </r>
  <r>
    <s v="CA-2015-115357"/>
    <x v="908"/>
    <d v="2015-08-11T00:00:00"/>
    <d v="2015-08-01T00:00:00"/>
    <s v="Second Class"/>
    <s v="RF-19735"/>
    <s v="Roland Fjeld"/>
    <x v="0"/>
    <s v="United States"/>
    <s v="Columbia"/>
    <s v="South Carolina"/>
    <n v="29203"/>
    <x v="0"/>
    <s v="TEC-AC-10000023"/>
    <x v="2"/>
    <x v="12"/>
    <s v="Maxell 74 Minute CD-R Spindle, 50/Pack"/>
    <n v="6291"/>
  </r>
  <r>
    <s v="US-2015-102715"/>
    <x v="909"/>
    <d v="2015-04-13T00:00:00"/>
    <d v="2015-04-01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912"/>
  </r>
  <r>
    <s v="CA-2016-107937"/>
    <x v="910"/>
    <d v="2016-05-08T00:00:00"/>
    <d v="2016-05-01T00:00:00"/>
    <s v="Standard Class"/>
    <s v="JB-16045"/>
    <s v="Julia Barnett"/>
    <x v="2"/>
    <s v="United States"/>
    <s v="Chula Vista"/>
    <s v="California"/>
    <n v="91911"/>
    <x v="1"/>
    <s v="FUR-FU-10002298"/>
    <x v="0"/>
    <x v="3"/>
    <s v="Rubbermaid ClusterMat Chairmats, Mat Size- 66&quot; x 60&quot;, Lip 20&quot; x 11&quot; -90 Degree Angle"/>
    <n v="66588"/>
  </r>
  <r>
    <s v="CA-2018-118521"/>
    <x v="911"/>
    <d v="2018-02-20T00:00:00"/>
    <d v="2018-02-01T00:00:00"/>
    <s v="Standard Class"/>
    <s v="LF-17185"/>
    <s v="Luke Foster"/>
    <x v="0"/>
    <s v="United States"/>
    <s v="New York City"/>
    <s v="New York"/>
    <n v="10035"/>
    <x v="3"/>
    <s v="OFF-PA-10003465"/>
    <x v="1"/>
    <x v="4"/>
    <s v="Xerox 1912"/>
    <n v="3794"/>
  </r>
  <r>
    <s v="CA-2015-149643"/>
    <x v="912"/>
    <d v="2015-11-20T00:00:00"/>
    <d v="2015-11-01T00:00:00"/>
    <s v="Standard Class"/>
    <s v="RH-19510"/>
    <s v="Rick Huthwaite"/>
    <x v="2"/>
    <s v="United States"/>
    <s v="Manhattan"/>
    <s v="Kansas"/>
    <n v="66502"/>
    <x v="2"/>
    <s v="TEC-PH-10000038"/>
    <x v="2"/>
    <x v="10"/>
    <s v="Jawbone MINI JAMBOX Wireless Bluetooth Speaker"/>
    <n v="27396"/>
  </r>
  <r>
    <s v="CA-2017-169971"/>
    <x v="913"/>
    <d v="2017-09-09T00:00:00"/>
    <d v="2017-09-01T00:00:00"/>
    <s v="Standard Class"/>
    <s v="IL-15100"/>
    <s v="Ivan Liston"/>
    <x v="0"/>
    <s v="United States"/>
    <s v="Houston"/>
    <s v="Texas"/>
    <n v="77041"/>
    <x v="2"/>
    <s v="OFF-AR-10002804"/>
    <x v="1"/>
    <x v="8"/>
    <s v="Faber Castell Col-Erase Pencils"/>
    <n v="3912"/>
  </r>
  <r>
    <s v="CA-2016-111325"/>
    <x v="914"/>
    <d v="2016-02-28T00:00:00"/>
    <d v="2016-02-01T00:00:00"/>
    <s v="First Class"/>
    <s v="BT-11395"/>
    <s v="Bill Tyler"/>
    <x v="1"/>
    <s v="United States"/>
    <s v="Altoona"/>
    <s v="Pennsylvania"/>
    <n v="16602"/>
    <x v="3"/>
    <s v="OFF-BI-10000343"/>
    <x v="1"/>
    <x v="5"/>
    <s v="Pressboard Covers with Storage Hooks, 9 1/2&quot; x 11&quot;, Light Blue"/>
    <n v="4419"/>
  </r>
  <r>
    <s v="US-2015-117163"/>
    <x v="915"/>
    <d v="2015-02-02T00:00:00"/>
    <d v="2015-01-01T00:00:00"/>
    <s v="Standard Class"/>
    <s v="EJ-13720"/>
    <s v="Ed Jacobs"/>
    <x v="0"/>
    <s v="United States"/>
    <s v="San Diego"/>
    <s v="California"/>
    <n v="92037"/>
    <x v="1"/>
    <s v="OFF-ST-10003692"/>
    <x v="1"/>
    <x v="7"/>
    <s v="Recycled Steel Personal File for Hanging File Folders"/>
    <n v="5723"/>
  </r>
  <r>
    <s v="CA-2018-147753"/>
    <x v="916"/>
    <d v="2018-03-05T00:00:00"/>
    <d v="2018-03-01T00:00:00"/>
    <s v="Same Day"/>
    <s v="PK-19075"/>
    <s v="Pete Kriz"/>
    <x v="0"/>
    <s v="United States"/>
    <s v="Milwaukee"/>
    <s v="Wisconsin"/>
    <n v="53209"/>
    <x v="2"/>
    <s v="OFF-LA-10003537"/>
    <x v="1"/>
    <x v="1"/>
    <s v="Avery 515"/>
    <n v="2506"/>
  </r>
  <r>
    <s v="CA-2018-141733"/>
    <x v="917"/>
    <d v="2018-05-11T00:00:00"/>
    <d v="2018-05-01T00:00:00"/>
    <s v="Standard Class"/>
    <s v="RW-19540"/>
    <s v="Rick Wilson"/>
    <x v="1"/>
    <s v="United States"/>
    <s v="Detroit"/>
    <s v="Michigan"/>
    <n v="48234"/>
    <x v="2"/>
    <s v="FUR-CH-10004086"/>
    <x v="0"/>
    <x v="9"/>
    <s v="Hon 4070 Series Pagoda Armless Upholstered Stacking Chairs"/>
    <n v="145865"/>
  </r>
  <r>
    <s v="CA-2015-100363"/>
    <x v="918"/>
    <d v="2015-04-15T00:00:00"/>
    <d v="2015-04-01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368"/>
  </r>
  <r>
    <s v="CA-2015-101931"/>
    <x v="919"/>
    <d v="2015-10-31T00:00:00"/>
    <d v="2015-10-01T00:00:00"/>
    <s v="First Class"/>
    <s v="TS-21370"/>
    <s v="Todd Sumrall"/>
    <x v="1"/>
    <s v="United States"/>
    <s v="Los Angeles"/>
    <s v="California"/>
    <n v="90049"/>
    <x v="1"/>
    <s v="OFF-BI-10004140"/>
    <x v="1"/>
    <x v="5"/>
    <s v="Avery Non-Stick Binders"/>
    <n v="7184"/>
  </r>
  <r>
    <s v="CA-2018-129000"/>
    <x v="920"/>
    <d v="2018-11-27T00:00:00"/>
    <d v="2018-11-01T00:00:00"/>
    <s v="Second Class"/>
    <s v="SZ-20035"/>
    <s v="Sam Zeldin"/>
    <x v="2"/>
    <s v="United States"/>
    <s v="Canton"/>
    <s v="Michigan"/>
    <n v="48187"/>
    <x v="2"/>
    <s v="OFF-ST-10001097"/>
    <x v="1"/>
    <x v="7"/>
    <s v="Office Impressions Heavy Duty Welded Shelving &amp; Multimedia Storage Drawers"/>
    <n v="50181"/>
  </r>
  <r>
    <s v="US-2018-131849"/>
    <x v="921"/>
    <d v="2018-06-10T00:00:00"/>
    <d v="2018-06-01T00:00:00"/>
    <s v="Standard Class"/>
    <s v="GH-14410"/>
    <s v="Gary Hansen"/>
    <x v="2"/>
    <s v="United States"/>
    <s v="San Francisco"/>
    <s v="California"/>
    <n v="94122"/>
    <x v="1"/>
    <s v="FUR-FU-10004164"/>
    <x v="0"/>
    <x v="3"/>
    <s v="Eldon 300 Class Desk Accessories, Black"/>
    <n v="495"/>
  </r>
  <r>
    <s v="CA-2018-154039"/>
    <x v="922"/>
    <d v="2018-02-22T00:00:00"/>
    <d v="2018-02-01T00:00:00"/>
    <s v="Standard Class"/>
    <s v="JK-16120"/>
    <s v="Julie Kriz"/>
    <x v="2"/>
    <s v="United States"/>
    <s v="Chicago"/>
    <s v="Illinois"/>
    <n v="60653"/>
    <x v="2"/>
    <s v="FUR-TA-10001932"/>
    <x v="0"/>
    <x v="2"/>
    <s v="Chromcraft 48&quot; x 96&quot; Racetrack Double Pedestal Table"/>
    <n v="48096"/>
  </r>
  <r>
    <s v="CA-2015-124709"/>
    <x v="923"/>
    <d v="2015-07-29T00:00:00"/>
    <d v="2015-07-01T00:00:00"/>
    <s v="Second Class"/>
    <s v="GW-14605"/>
    <s v="Giulietta Weimer"/>
    <x v="0"/>
    <s v="United States"/>
    <s v="San Francisco"/>
    <s v="California"/>
    <n v="94122"/>
    <x v="1"/>
    <s v="TEC-AC-10002842"/>
    <x v="2"/>
    <x v="12"/>
    <s v="WD My Passport Ultra 2TB Portable External Hard Drive"/>
    <n v="238"/>
  </r>
  <r>
    <s v="CA-2016-132486"/>
    <x v="924"/>
    <d v="2016-10-27T00:00:00"/>
    <d v="2016-10-01T00:00:00"/>
    <s v="Second Class"/>
    <s v="JF-15355"/>
    <s v="Jay Fein"/>
    <x v="0"/>
    <s v="United States"/>
    <s v="San Diego"/>
    <s v="California"/>
    <n v="92105"/>
    <x v="1"/>
    <s v="TEC-AC-10000710"/>
    <x v="2"/>
    <x v="12"/>
    <s v="Maxell DVD-RAM Discs"/>
    <n v="14832"/>
  </r>
  <r>
    <s v="CA-2016-129896"/>
    <x v="925"/>
    <d v="2016-06-20T00:00:00"/>
    <d v="2016-06-01T00:00:00"/>
    <s v="Standard Class"/>
    <s v="PF-19120"/>
    <s v="Peter Fuller"/>
    <x v="0"/>
    <s v="United States"/>
    <s v="Gilbert"/>
    <s v="Arizona"/>
    <n v="85234"/>
    <x v="1"/>
    <s v="OFF-PA-10002245"/>
    <x v="1"/>
    <x v="4"/>
    <s v="Xerox 1895"/>
    <n v="9568"/>
  </r>
  <r>
    <s v="US-2018-127341"/>
    <x v="926"/>
    <d v="2018-02-02T00:00:00"/>
    <d v="2018-01-01T00:00:00"/>
    <s v="Standard Class"/>
    <s v="CK-12595"/>
    <s v="Clytie Kelty"/>
    <x v="0"/>
    <s v="United States"/>
    <s v="Chicago"/>
    <s v="Illinois"/>
    <n v="60653"/>
    <x v="2"/>
    <s v="OFF-BI-10001072"/>
    <x v="1"/>
    <x v="5"/>
    <s v="GBC Clear Cover, 8-1/2 x 11, unpunched, 25 covers per pack"/>
    <n v="12128"/>
  </r>
  <r>
    <s v="CA-2018-110212"/>
    <x v="927"/>
    <d v="2018-05-05T00:00:00"/>
    <d v="2018-05-01T00:00:00"/>
    <s v="Standard Class"/>
    <s v="SJ-20125"/>
    <s v="Sanjit Jacobs"/>
    <x v="2"/>
    <s v="United States"/>
    <s v="Texarkana"/>
    <s v="Arkansas"/>
    <n v="71854"/>
    <x v="0"/>
    <s v="TEC-AC-10002331"/>
    <x v="2"/>
    <x v="12"/>
    <s v="Maxell 74 Minute CDR, 10/Pack"/>
    <n v="489"/>
  </r>
  <r>
    <s v="CA-2016-121097"/>
    <x v="928"/>
    <d v="2016-01-08T00:00:00"/>
    <d v="2016-01-01T00:00:00"/>
    <s v="Standard Class"/>
    <s v="SF-20965"/>
    <s v="Sylvia Foulston"/>
    <x v="1"/>
    <s v="United States"/>
    <s v="Baytown"/>
    <s v="Texas"/>
    <n v="77520"/>
    <x v="2"/>
    <s v="OFF-PA-10001937"/>
    <x v="1"/>
    <x v="4"/>
    <s v="Xerox 21"/>
    <n v="10368"/>
  </r>
  <r>
    <s v="CA-2018-126788"/>
    <x v="929"/>
    <d v="2018-06-06T00:00:00"/>
    <d v="2018-06-01T00:00:00"/>
    <s v="First Class"/>
    <s v="AB-10105"/>
    <s v="Adrian Barton"/>
    <x v="0"/>
    <s v="United States"/>
    <s v="Pearland"/>
    <s v="Texas"/>
    <n v="77581"/>
    <x v="2"/>
    <s v="TEC-PH-10001619"/>
    <x v="2"/>
    <x v="10"/>
    <s v="LG G3"/>
    <n v="470376"/>
  </r>
  <r>
    <s v="US-2018-142573"/>
    <x v="930"/>
    <d v="2018-07-23T00:00:00"/>
    <d v="2018-07-01T00:00:00"/>
    <s v="Standard Class"/>
    <s v="ML-17410"/>
    <s v="Maris LaWare"/>
    <x v="0"/>
    <s v="United States"/>
    <s v="Phoenix"/>
    <s v="Arizona"/>
    <n v="85023"/>
    <x v="1"/>
    <s v="FUR-TA-10001932"/>
    <x v="0"/>
    <x v="2"/>
    <s v="Chromcraft 48&quot; x 96&quot; Racetrack Double Pedestal Table"/>
    <n v="8016"/>
  </r>
  <r>
    <s v="CA-2017-110044"/>
    <x v="931"/>
    <d v="2017-07-02T00:00:00"/>
    <d v="2017-06-01T00:00:00"/>
    <s v="Second Class"/>
    <s v="RF-19735"/>
    <s v="Roland Fjeld"/>
    <x v="0"/>
    <s v="United States"/>
    <s v="Chicago"/>
    <s v="Illinois"/>
    <n v="60610"/>
    <x v="2"/>
    <s v="TEC-PH-10001299"/>
    <x v="2"/>
    <x v="10"/>
    <s v="Polycom CX300 Desktop Phone USB VoIP phone"/>
    <n v="359976"/>
  </r>
  <r>
    <s v="US-2016-163685"/>
    <x v="932"/>
    <d v="2016-06-05T00:00:00"/>
    <d v="2016-06-01T00:00:00"/>
    <s v="Standard Class"/>
    <s v="KE-16420"/>
    <s v="Katrina Edelman"/>
    <x v="1"/>
    <s v="United States"/>
    <s v="San Antonio"/>
    <s v="Texas"/>
    <n v="78207"/>
    <x v="2"/>
    <s v="OFF-BI-10001890"/>
    <x v="1"/>
    <x v="5"/>
    <s v="Avery Poly Binder Pockets"/>
    <n v="5728"/>
  </r>
  <r>
    <s v="CA-2016-132374"/>
    <x v="933"/>
    <d v="2016-02-24T00:00:00"/>
    <d v="2016-02-01T00:00:00"/>
    <s v="Second Class"/>
    <s v="PS-19045"/>
    <s v="Penelope Sewall"/>
    <x v="2"/>
    <s v="United States"/>
    <s v="Sterling Heights"/>
    <s v="Michigan"/>
    <n v="48310"/>
    <x v="2"/>
    <s v="OFF-AR-10001615"/>
    <x v="1"/>
    <x v="8"/>
    <s v="Newell 34"/>
    <n v="7936"/>
  </r>
  <r>
    <s v="CA-2018-119564"/>
    <x v="934"/>
    <d v="2018-12-20T00:00:00"/>
    <d v="2018-12-01T00:00:00"/>
    <s v="Standard Class"/>
    <s v="PL-18925"/>
    <s v="Paul Lucas"/>
    <x v="2"/>
    <s v="United States"/>
    <s v="Seattle"/>
    <s v="Washington"/>
    <n v="98115"/>
    <x v="1"/>
    <s v="FUR-FU-10003096"/>
    <x v="0"/>
    <x v="3"/>
    <s v="Master Giant Foot Doorstop, Safety Yellow"/>
    <n v="2277"/>
  </r>
  <r>
    <s v="CA-2015-137589"/>
    <x v="935"/>
    <d v="2015-11-08T00:00:00"/>
    <d v="2015-11-01T00:00:00"/>
    <s v="Standard Class"/>
    <s v="MS-17770"/>
    <s v="Maxwell Schwartz"/>
    <x v="0"/>
    <s v="United States"/>
    <s v="Lancaster"/>
    <s v="Pennsylvania"/>
    <n v="17602"/>
    <x v="3"/>
    <s v="OFF-SU-10000157"/>
    <x v="1"/>
    <x v="16"/>
    <s v="Compact Automatic Electric Letter Opener"/>
    <n v="286344"/>
  </r>
  <r>
    <s v="CA-2016-105627"/>
    <x v="936"/>
    <d v="2016-03-12T00:00:00"/>
    <d v="2016-03-01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94"/>
  </r>
  <r>
    <s v="CA-2016-153612"/>
    <x v="937"/>
    <d v="2016-12-27T00:00:00"/>
    <d v="2016-12-01T00:00:00"/>
    <s v="Standard Class"/>
    <s v="BT-11305"/>
    <s v="Beth Thompson"/>
    <x v="2"/>
    <s v="United States"/>
    <s v="Superior"/>
    <s v="Wisconsin"/>
    <n v="54880"/>
    <x v="2"/>
    <s v="OFF-AR-10000203"/>
    <x v="1"/>
    <x v="8"/>
    <s v="Newell 336"/>
    <n v="1712"/>
  </r>
  <r>
    <s v="CA-2018-139311"/>
    <x v="938"/>
    <d v="2018-08-13T00:00:00"/>
    <d v="2018-08-01T00:00:00"/>
    <s v="First Class"/>
    <s v="SF-20965"/>
    <s v="Sylvia Foulston"/>
    <x v="1"/>
    <s v="United States"/>
    <s v="Bedford"/>
    <s v="Texas"/>
    <n v="76021"/>
    <x v="2"/>
    <s v="OFF-PA-10001776"/>
    <x v="1"/>
    <x v="4"/>
    <s v="Wirebound Message Books, Four 2 3/4&quot; x 5&quot; Forms per Page, 600 Sets per Book"/>
    <n v="29664"/>
  </r>
  <r>
    <s v="US-2017-108777"/>
    <x v="939"/>
    <d v="2017-12-12T00:00:00"/>
    <d v="2017-12-01T00:00:00"/>
    <s v="Same Day"/>
    <s v="JM-15655"/>
    <s v="Jim Mitchum"/>
    <x v="1"/>
    <s v="United States"/>
    <s v="Lorain"/>
    <s v="Ohio"/>
    <n v="44052"/>
    <x v="3"/>
    <s v="OFF-BI-10003982"/>
    <x v="1"/>
    <x v="5"/>
    <s v="Wilson Jones Century Plastic Molded Ring Binders"/>
    <n v="18693"/>
  </r>
  <r>
    <s v="CA-2018-108112"/>
    <x v="940"/>
    <d v="2018-11-20T00:00:00"/>
    <d v="2018-11-01T00:00:00"/>
    <s v="Standard Class"/>
    <s v="DK-12895"/>
    <s v="Dana Kaydos"/>
    <x v="0"/>
    <s v="United States"/>
    <s v="Miramar"/>
    <s v="Florida"/>
    <n v="33023"/>
    <x v="0"/>
    <s v="FUR-FU-10003553"/>
    <x v="0"/>
    <x v="3"/>
    <s v="Howard Miller 13-1/2&quot; Diameter Rosebrook Wall Clock"/>
    <n v="220064"/>
  </r>
  <r>
    <s v="CA-2018-166576"/>
    <x v="941"/>
    <d v="2018-05-18T00:00:00"/>
    <d v="2018-05-01T00:00:00"/>
    <s v="First Class"/>
    <s v="JM-15865"/>
    <s v="John Murray"/>
    <x v="0"/>
    <s v="United States"/>
    <s v="Akron"/>
    <s v="Ohio"/>
    <n v="44312"/>
    <x v="3"/>
    <s v="OFF-ST-10002574"/>
    <x v="1"/>
    <x v="7"/>
    <s v="SAFCO Commercial Wire Shelving, Black"/>
    <n v="221024"/>
  </r>
  <r>
    <s v="CA-2016-116687"/>
    <x v="942"/>
    <d v="2016-05-07T00:00:00"/>
    <d v="2016-05-01T00:00:00"/>
    <s v="Standard Class"/>
    <s v="NC-18625"/>
    <s v="Noah Childs"/>
    <x v="1"/>
    <s v="United States"/>
    <s v="Houston"/>
    <s v="Texas"/>
    <n v="77095"/>
    <x v="2"/>
    <s v="OFF-LA-10000443"/>
    <x v="1"/>
    <x v="1"/>
    <s v="Avery 501"/>
    <n v="8856"/>
  </r>
  <r>
    <s v="CA-2018-133823"/>
    <x v="943"/>
    <d v="2018-05-12T00:00:00"/>
    <d v="2018-05-01T00:00:00"/>
    <s v="Same Day"/>
    <s v="LP-17080"/>
    <s v="Liz Pelletier"/>
    <x v="0"/>
    <s v="United States"/>
    <s v="Seattle"/>
    <s v="Washington"/>
    <n v="98103"/>
    <x v="1"/>
    <s v="OFF-PA-10002870"/>
    <x v="1"/>
    <x v="4"/>
    <s v="Ampad Phone Message Book, Recycled, 400 Message Capacity, 5 ¾” x 11”"/>
    <n v="3744"/>
  </r>
  <r>
    <s v="CA-2018-123239"/>
    <x v="944"/>
    <d v="2018-07-31T00:00:00"/>
    <d v="2018-07-01T00:00:00"/>
    <s v="Second Class"/>
    <s v="MG-18145"/>
    <s v="Mike Gockenbach"/>
    <x v="0"/>
    <s v="United States"/>
    <s v="Jacksonville"/>
    <s v="Florida"/>
    <n v="32216"/>
    <x v="0"/>
    <s v="FUR-FU-10001602"/>
    <x v="0"/>
    <x v="3"/>
    <s v="Eldon Delta Triangular Chair Mat, 52&quot; x 58&quot;, Clear"/>
    <n v="91032"/>
  </r>
  <r>
    <s v="CA-2017-117226"/>
    <x v="945"/>
    <d v="2018-01-01T00:00:00"/>
    <d v="2017-12-01T00:00:00"/>
    <s v="First Class"/>
    <s v="KD-16495"/>
    <s v="Keith Dawkins"/>
    <x v="1"/>
    <s v="United States"/>
    <s v="Deer Park"/>
    <s v="Texas"/>
    <n v="77536"/>
    <x v="2"/>
    <s v="OFF-BI-10004654"/>
    <x v="1"/>
    <x v="5"/>
    <s v="Avery Binding System Hidden Tab Executive Style Index Sets"/>
    <n v="6924"/>
  </r>
  <r>
    <s v="US-2015-107699"/>
    <x v="946"/>
    <d v="2015-05-23T00:00:00"/>
    <d v="2015-05-01T00:00:00"/>
    <s v="Standard Class"/>
    <s v="JH-15820"/>
    <s v="John Huston"/>
    <x v="0"/>
    <s v="United States"/>
    <s v="Midland"/>
    <s v="Michigan"/>
    <n v="48640"/>
    <x v="2"/>
    <s v="OFF-BI-10001249"/>
    <x v="1"/>
    <x v="5"/>
    <s v="Avery Heavy-Duty EZD View Binder with Locking Rings"/>
    <n v="5742"/>
  </r>
  <r>
    <s v="US-2017-164588"/>
    <x v="947"/>
    <d v="2017-04-23T00:00:00"/>
    <d v="2017-04-01T00:00:00"/>
    <s v="Standard Class"/>
    <s v="AP-10915"/>
    <s v="Arthur Prichep"/>
    <x v="0"/>
    <s v="United States"/>
    <s v="Columbus"/>
    <s v="Georgia"/>
    <n v="31907"/>
    <x v="0"/>
    <s v="OFF-AR-10003056"/>
    <x v="1"/>
    <x v="8"/>
    <s v="Newell 341"/>
    <n v="1284"/>
  </r>
  <r>
    <s v="CA-2016-163587"/>
    <x v="948"/>
    <d v="2016-03-18T00:00:00"/>
    <d v="2016-03-01T00:00:00"/>
    <s v="Standard Class"/>
    <s v="EP-13915"/>
    <s v="Emily Phan"/>
    <x v="0"/>
    <s v="United States"/>
    <s v="Dover"/>
    <s v="New Hampshire"/>
    <n v="3820"/>
    <x v="3"/>
    <s v="OFF-LA-10004484"/>
    <x v="1"/>
    <x v="1"/>
    <s v="Avery 476"/>
    <n v="1652"/>
  </r>
  <r>
    <s v="CA-2017-152163"/>
    <x v="949"/>
    <d v="2017-07-01T00:00:00"/>
    <d v="2017-07-01T00:00:00"/>
    <s v="Same Day"/>
    <s v="JF-15355"/>
    <s v="Jay Fein"/>
    <x v="0"/>
    <s v="United States"/>
    <s v="Columbia"/>
    <s v="South Carolina"/>
    <n v="29203"/>
    <x v="0"/>
    <s v="OFF-BI-10002215"/>
    <x v="1"/>
    <x v="5"/>
    <s v="Wilson Jones Hanging View Binder, White, 1&quot;"/>
    <n v="142"/>
  </r>
  <r>
    <s v="CA-2017-148593"/>
    <x v="950"/>
    <d v="2017-06-18T00:00:00"/>
    <d v="2017-06-01T00:00:00"/>
    <s v="Second Class"/>
    <s v="BD-11320"/>
    <s v="Bill Donatelli"/>
    <x v="0"/>
    <s v="United States"/>
    <s v="Los Angeles"/>
    <s v="California"/>
    <n v="90045"/>
    <x v="1"/>
    <s v="OFF-PA-10001776"/>
    <x v="1"/>
    <x v="4"/>
    <s v="Wirebound Message Books, Four 2 3/4&quot; x 5&quot; Forms per Page, 600 Sets per Book"/>
    <n v="4635"/>
  </r>
  <r>
    <s v="CA-2016-129392"/>
    <x v="951"/>
    <d v="2016-07-08T00:00:00"/>
    <d v="2016-07-01T00:00:00"/>
    <s v="Same Day"/>
    <s v="DM-13015"/>
    <s v="Darrin Martin"/>
    <x v="0"/>
    <s v="United States"/>
    <s v="Houston"/>
    <s v="Texas"/>
    <n v="77070"/>
    <x v="2"/>
    <s v="OFF-PA-10004248"/>
    <x v="1"/>
    <x v="4"/>
    <s v="Xerox 1990"/>
    <n v="2112"/>
  </r>
  <r>
    <s v="CA-2015-166457"/>
    <x v="952"/>
    <d v="2015-05-09T00:00:00"/>
    <d v="2015-05-01T00:00:00"/>
    <s v="Second Class"/>
    <s v="PF-19120"/>
    <s v="Peter Fuller"/>
    <x v="0"/>
    <s v="United States"/>
    <s v="Richmond"/>
    <s v="Kentucky"/>
    <n v="40475"/>
    <x v="0"/>
    <s v="OFF-PA-10003016"/>
    <x v="1"/>
    <x v="4"/>
    <s v="Adams &quot;While You Were Out&quot; Message Pads"/>
    <n v="942"/>
  </r>
  <r>
    <s v="CA-2015-103590"/>
    <x v="953"/>
    <d v="2015-12-04T00:00:00"/>
    <d v="2015-11-01T00:00:00"/>
    <s v="Standard Class"/>
    <s v="JL-15505"/>
    <s v="Jeremy Lonsdale"/>
    <x v="0"/>
    <s v="United States"/>
    <s v="Mount Vernon"/>
    <s v="New York"/>
    <n v="10550"/>
    <x v="3"/>
    <s v="OFF-EN-10004007"/>
    <x v="1"/>
    <x v="11"/>
    <s v="Park Ridge Embossed Executive Business Envelopes"/>
    <n v="6228"/>
  </r>
  <r>
    <s v="CA-2016-111234"/>
    <x v="954"/>
    <d v="2016-02-22T00:00:00"/>
    <d v="2016-02-01T00:00:00"/>
    <s v="Standard Class"/>
    <s v="AB-10600"/>
    <s v="Ann Blume"/>
    <x v="1"/>
    <s v="United States"/>
    <s v="Los Angeles"/>
    <s v="California"/>
    <n v="90004"/>
    <x v="1"/>
    <s v="OFF-LA-10002271"/>
    <x v="1"/>
    <x v="1"/>
    <s v="Smead Alpha-Z Color-Coded Second Alphabetical Labels and Starter Set"/>
    <n v="924"/>
  </r>
  <r>
    <s v="CA-2017-108644"/>
    <x v="955"/>
    <d v="2017-10-03T00:00:00"/>
    <d v="2017-09-01T00:00:00"/>
    <s v="First Class"/>
    <s v="SJ-20215"/>
    <s v="Sarah Jordon"/>
    <x v="0"/>
    <s v="United States"/>
    <s v="Quincy"/>
    <s v="Illinois"/>
    <n v="62301"/>
    <x v="2"/>
    <s v="OFF-BI-10000343"/>
    <x v="1"/>
    <x v="5"/>
    <s v="Pressboard Covers with Storage Hooks, 9 1/2&quot; x 11&quot;, Light Blue"/>
    <n v="1964"/>
  </r>
  <r>
    <s v="CA-2016-154970"/>
    <x v="956"/>
    <d v="2016-01-10T00:00:00"/>
    <d v="2016-01-01T00:00:00"/>
    <s v="Standard Class"/>
    <s v="SR-20740"/>
    <s v="Steven Roelle"/>
    <x v="2"/>
    <s v="United States"/>
    <s v="Seattle"/>
    <s v="Washington"/>
    <n v="98103"/>
    <x v="1"/>
    <s v="FUR-CH-10003396"/>
    <x v="0"/>
    <x v="9"/>
    <s v="Global Deluxe Steno Chair"/>
    <n v="61584"/>
  </r>
  <r>
    <s v="CA-2018-100223"/>
    <x v="957"/>
    <d v="2018-07-10T00:00:00"/>
    <d v="2018-07-01T00:00:00"/>
    <s v="Standard Class"/>
    <s v="LS-16945"/>
    <s v="Linda Southworth"/>
    <x v="1"/>
    <s v="United States"/>
    <s v="Dallas"/>
    <s v="Texas"/>
    <n v="75220"/>
    <x v="2"/>
    <s v="FUR-FU-10003601"/>
    <x v="0"/>
    <x v="3"/>
    <s v="Deflect-o RollaMat Studded, Beveled Mat for Medium Pile Carpeting"/>
    <n v="332028"/>
  </r>
  <r>
    <s v="CA-2017-159142"/>
    <x v="958"/>
    <d v="2017-04-05T00:00:00"/>
    <d v="2017-04-01T00:00:00"/>
    <s v="First Class"/>
    <s v="ME-17320"/>
    <s v="Maria Etezadi"/>
    <x v="2"/>
    <s v="United States"/>
    <s v="Springfield"/>
    <s v="Virginia"/>
    <n v="22153"/>
    <x v="0"/>
    <s v="TEC-PH-10001448"/>
    <x v="2"/>
    <x v="10"/>
    <s v="Anker Astro 15000mAh USB Portable Charger"/>
    <n v="14997"/>
  </r>
  <r>
    <s v="CA-2015-138436"/>
    <x v="959"/>
    <d v="2015-03-30T00:00:00"/>
    <d v="2015-03-01T00:00:00"/>
    <s v="Standard Class"/>
    <s v="JD-15895"/>
    <s v="Jonathan Doherty"/>
    <x v="1"/>
    <s v="United States"/>
    <s v="Los Angeles"/>
    <s v="California"/>
    <n v="90036"/>
    <x v="1"/>
    <s v="TEC-AC-10002323"/>
    <x v="2"/>
    <x v="12"/>
    <s v="SanDisk Ultra 32 GB MicroSDHC Class 10 Memory Card"/>
    <n v="663"/>
  </r>
  <r>
    <s v="CA-2018-118367"/>
    <x v="960"/>
    <d v="2018-11-02T00:00:00"/>
    <d v="2018-10-01T00:00:00"/>
    <s v="Second Class"/>
    <s v="LO-17170"/>
    <s v="Lori Olson"/>
    <x v="1"/>
    <s v="United States"/>
    <s v="New York City"/>
    <s v="New York"/>
    <n v="10035"/>
    <x v="3"/>
    <s v="OFF-EN-10004386"/>
    <x v="1"/>
    <x v="11"/>
    <s v="Recycled Interoffice Envelopes with String and Button Closure, 10 x 13"/>
    <n v="4798"/>
  </r>
  <r>
    <s v="US-2016-117184"/>
    <x v="961"/>
    <d v="2016-05-21T00:00:00"/>
    <d v="2016-05-01T00:00:00"/>
    <s v="Standard Class"/>
    <s v="ON-18715"/>
    <s v="Odella Nelson"/>
    <x v="1"/>
    <s v="United States"/>
    <s v="Houston"/>
    <s v="Texas"/>
    <n v="77095"/>
    <x v="2"/>
    <s v="OFF-BI-10002082"/>
    <x v="1"/>
    <x v="5"/>
    <s v="GBC Twin Loop Wire Binding Elements"/>
    <n v="3328"/>
  </r>
  <r>
    <s v="CA-2018-129021"/>
    <x v="962"/>
    <d v="2018-08-26T00:00:00"/>
    <d v="2018-08-01T00:00:00"/>
    <s v="Second Class"/>
    <s v="PO-18850"/>
    <s v="Patrick O'Brill"/>
    <x v="0"/>
    <s v="United States"/>
    <s v="Tallahassee"/>
    <s v="Florida"/>
    <n v="32303"/>
    <x v="0"/>
    <s v="TEC-PH-10001459"/>
    <x v="2"/>
    <x v="10"/>
    <s v="Samsung Galaxy Mega 6.3"/>
    <n v="4367896"/>
  </r>
  <r>
    <s v="CA-2015-123253"/>
    <x v="963"/>
    <d v="2015-08-25T00:00:00"/>
    <d v="2015-08-01T00:00:00"/>
    <s v="Second Class"/>
    <s v="DE-13255"/>
    <s v="Deanra Eno"/>
    <x v="2"/>
    <s v="United States"/>
    <s v="Lakewood"/>
    <s v="Ohio"/>
    <n v="44107"/>
    <x v="3"/>
    <s v="OFF-AR-10002804"/>
    <x v="1"/>
    <x v="8"/>
    <s v="Faber Castell Col-Erase Pencils"/>
    <n v="3912"/>
  </r>
  <r>
    <s v="CA-2017-121601"/>
    <x v="964"/>
    <d v="2017-10-04T00:00:00"/>
    <d v="2017-10-01T00:00:00"/>
    <s v="Same Day"/>
    <s v="MO-17500"/>
    <s v="Mary O'Rourke"/>
    <x v="0"/>
    <s v="United States"/>
    <s v="The Colony"/>
    <s v="Texas"/>
    <n v="75056"/>
    <x v="2"/>
    <s v="OFF-EN-10003862"/>
    <x v="1"/>
    <x v="11"/>
    <s v="Laser &amp; Ink Jet Business Envelopes"/>
    <n v="59752"/>
  </r>
  <r>
    <s v="CA-2015-162278"/>
    <x v="965"/>
    <d v="2015-10-30T00:00:00"/>
    <d v="2015-10-01T00:00:00"/>
    <s v="Second Class"/>
    <s v="AH-10585"/>
    <s v="Angele Hood"/>
    <x v="0"/>
    <s v="United States"/>
    <s v="Seattle"/>
    <s v="Washington"/>
    <n v="98105"/>
    <x v="1"/>
    <s v="FUR-FU-10000448"/>
    <x v="0"/>
    <x v="3"/>
    <s v="Tenex Chairmats For Use With Carpeted Floors"/>
    <n v="6392"/>
  </r>
  <r>
    <s v="US-2016-147662"/>
    <x v="966"/>
    <d v="2016-02-19T00:00:00"/>
    <d v="2016-02-01T00:00:00"/>
    <s v="Standard Class"/>
    <s v="KB-16315"/>
    <s v="Karl Braun"/>
    <x v="0"/>
    <s v="United States"/>
    <s v="Akron"/>
    <s v="Ohio"/>
    <n v="44312"/>
    <x v="3"/>
    <s v="OFF-BI-10001658"/>
    <x v="1"/>
    <x v="5"/>
    <s v="GBC Standard Therm-A-Bind Covers"/>
    <n v="14952"/>
  </r>
  <r>
    <s v="CA-2017-153346"/>
    <x v="967"/>
    <d v="2017-01-27T00:00:00"/>
    <d v="2017-01-01T00:00:00"/>
    <s v="First Class"/>
    <s v="TB-21355"/>
    <s v="Todd Boyes"/>
    <x v="1"/>
    <s v="United States"/>
    <s v="Plainfield"/>
    <s v="New Jersey"/>
    <n v="7060"/>
    <x v="3"/>
    <s v="OFF-AR-10000315"/>
    <x v="1"/>
    <x v="8"/>
    <s v="Dixon Ticonderoga Maple Cedar Pencil, #2"/>
    <n v="921"/>
  </r>
  <r>
    <s v="CA-2018-111332"/>
    <x v="968"/>
    <d v="2018-05-22T00:00:00"/>
    <d v="2018-05-01T00:00:00"/>
    <s v="Second Class"/>
    <s v="NC-18340"/>
    <s v="Nat Carroll"/>
    <x v="0"/>
    <s v="United States"/>
    <s v="Fargo"/>
    <s v="North Dakota"/>
    <n v="58103"/>
    <x v="2"/>
    <s v="OFF-AR-10001953"/>
    <x v="1"/>
    <x v="8"/>
    <s v="Boston 1645 Deluxe Heavier-Duty Electric Pencil Sharpener"/>
    <n v="13194"/>
  </r>
  <r>
    <s v="CA-2016-152891"/>
    <x v="969"/>
    <d v="2016-10-30T00:00:00"/>
    <d v="2016-10-01T00:00:00"/>
    <s v="Standard Class"/>
    <s v="TB-21625"/>
    <s v="Trudy Brown"/>
    <x v="0"/>
    <s v="United States"/>
    <s v="San Francisco"/>
    <s v="California"/>
    <n v="94110"/>
    <x v="1"/>
    <s v="OFF-AR-10004648"/>
    <x v="1"/>
    <x v="8"/>
    <s v="Boston 19500 Mighty Mite Electric Pencil Sharpener"/>
    <n v="6045"/>
  </r>
  <r>
    <s v="US-2015-138758"/>
    <x v="970"/>
    <d v="2015-07-11T00:00:00"/>
    <d v="2015-07-01T00:00:00"/>
    <s v="Standard Class"/>
    <s v="JL-15835"/>
    <s v="John Lee"/>
    <x v="0"/>
    <s v="United States"/>
    <s v="Philadelphia"/>
    <s v="Pennsylvania"/>
    <n v="19120"/>
    <x v="3"/>
    <s v="FUR-CH-10002880"/>
    <x v="0"/>
    <x v="9"/>
    <s v="Global High-Back Leather Tilter, Burgundy"/>
    <n v="172186"/>
  </r>
  <r>
    <s v="CA-2018-132339"/>
    <x v="971"/>
    <d v="2018-08-23T00:00:00"/>
    <d v="2018-08-01T00:00:00"/>
    <s v="Standard Class"/>
    <s v="JB-15400"/>
    <s v="Jennifer Braxton"/>
    <x v="1"/>
    <s v="United States"/>
    <s v="Lawrence"/>
    <s v="Massachusetts"/>
    <n v="1841"/>
    <x v="3"/>
    <s v="OFF-BI-10003925"/>
    <x v="1"/>
    <x v="5"/>
    <s v="Fellowes PB300 Plastic Comb Binding Machine"/>
    <n v="38799"/>
  </r>
  <r>
    <s v="CA-2016-163090"/>
    <x v="972"/>
    <d v="2016-11-21T00:00:00"/>
    <d v="2016-11-01T00:00:00"/>
    <s v="Second Class"/>
    <s v="GH-14665"/>
    <s v="Greg Hansen"/>
    <x v="0"/>
    <s v="United States"/>
    <s v="Chicago"/>
    <s v="Illinois"/>
    <n v="60610"/>
    <x v="2"/>
    <s v="OFF-SU-10002537"/>
    <x v="1"/>
    <x v="16"/>
    <s v="Acme Box Cutter Scissors"/>
    <n v="4092"/>
  </r>
  <r>
    <s v="CA-2017-163398"/>
    <x v="973"/>
    <d v="2017-05-08T00:00:00"/>
    <d v="2017-05-01T00:00:00"/>
    <s v="Standard Class"/>
    <s v="CB-12415"/>
    <s v="Christy Brittain"/>
    <x v="0"/>
    <s v="United States"/>
    <s v="Chicago"/>
    <s v="Illinois"/>
    <n v="60653"/>
    <x v="2"/>
    <s v="OFF-BI-10000014"/>
    <x v="1"/>
    <x v="5"/>
    <s v="Heavy-Duty E-Z-D Binders"/>
    <n v="2182"/>
  </r>
  <r>
    <s v="CA-2016-121965"/>
    <x v="974"/>
    <d v="2016-06-23T00:00:00"/>
    <d v="2016-06-01T00:00:00"/>
    <s v="Standard Class"/>
    <s v="LH-17155"/>
    <s v="Logan Haushalter"/>
    <x v="0"/>
    <s v="United States"/>
    <s v="Los Angeles"/>
    <s v="California"/>
    <n v="90032"/>
    <x v="1"/>
    <s v="FUR-FU-10000732"/>
    <x v="0"/>
    <x v="3"/>
    <s v="Eldon 200 Class Desk Accessories"/>
    <n v="1256"/>
  </r>
  <r>
    <s v="CA-2017-147137"/>
    <x v="975"/>
    <d v="2017-07-06T00:00:00"/>
    <d v="2017-07-01T00:00:00"/>
    <s v="First Class"/>
    <s v="AA-10645"/>
    <s v="Anna Andreadi"/>
    <x v="0"/>
    <s v="United States"/>
    <s v="San Francisco"/>
    <s v="California"/>
    <n v="94109"/>
    <x v="1"/>
    <s v="FUR-FU-10000221"/>
    <x v="0"/>
    <x v="3"/>
    <s v="Master Caster Door Stop, Brown"/>
    <n v="254"/>
  </r>
  <r>
    <s v="CA-2016-163895"/>
    <x v="976"/>
    <d v="2016-08-11T00:00:00"/>
    <d v="2016-08-01T00:00:00"/>
    <s v="Standard Class"/>
    <s v="NS-18640"/>
    <s v="Noel Staavos"/>
    <x v="1"/>
    <s v="United States"/>
    <s v="Boise"/>
    <s v="Idaho"/>
    <n v="83704"/>
    <x v="1"/>
    <s v="OFF-BI-10004970"/>
    <x v="1"/>
    <x v="5"/>
    <s v="ACCOHIDE 3-Ring Binder, Blue, 1&quot;"/>
    <n v="3304"/>
  </r>
  <r>
    <s v="CA-2015-147235"/>
    <x v="977"/>
    <d v="2015-03-28T00:00:00"/>
    <d v="2015-03-01T00:00:00"/>
    <s v="Standard Class"/>
    <s v="CD-11920"/>
    <s v="Carlos Daly"/>
    <x v="0"/>
    <s v="United States"/>
    <s v="New York City"/>
    <s v="New York"/>
    <n v="10024"/>
    <x v="3"/>
    <s v="OFF-PA-10004948"/>
    <x v="1"/>
    <x v="4"/>
    <s v="Xerox 190"/>
    <n v="249"/>
  </r>
  <r>
    <s v="CA-2018-112753"/>
    <x v="978"/>
    <d v="2018-06-23T00:00:00"/>
    <d v="2018-06-01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9235"/>
  </r>
  <r>
    <s v="CA-2018-167003"/>
    <x v="979"/>
    <d v="2018-05-29T00:00:00"/>
    <d v="2018-05-01T00:00:00"/>
    <s v="Standard Class"/>
    <s v="VS-21820"/>
    <s v="Vivek Sundaresam"/>
    <x v="0"/>
    <s v="United States"/>
    <s v="Los Angeles"/>
    <s v="California"/>
    <n v="90036"/>
    <x v="1"/>
    <s v="FUR-TA-10001520"/>
    <x v="0"/>
    <x v="2"/>
    <s v="Lesro Sheffield Collection Coffee Table, End Table, Center Table, Corner Table"/>
    <n v="171288"/>
  </r>
  <r>
    <s v="CA-2015-109491"/>
    <x v="980"/>
    <d v="2015-02-26T00:00:00"/>
    <d v="2015-02-01T00:00:00"/>
    <s v="Standard Class"/>
    <s v="LC-16930"/>
    <s v="Linda Cazamias"/>
    <x v="1"/>
    <s v="United States"/>
    <s v="Richmond"/>
    <s v="Indiana"/>
    <n v="47374"/>
    <x v="2"/>
    <s v="TEC-AC-10001284"/>
    <x v="2"/>
    <x v="12"/>
    <s v="Enermax Briskie RF Wireless Keyboard and Mouse Combo"/>
    <n v="6231"/>
  </r>
  <r>
    <s v="CA-2015-107454"/>
    <x v="981"/>
    <d v="2015-11-06T00:00:00"/>
    <d v="2015-11-01T00:00:00"/>
    <s v="Standard Class"/>
    <s v="RD-19720"/>
    <s v="Roger Demir"/>
    <x v="0"/>
    <s v="United States"/>
    <s v="New York City"/>
    <s v="New York"/>
    <n v="10024"/>
    <x v="3"/>
    <s v="OFF-LA-10001569"/>
    <x v="1"/>
    <x v="1"/>
    <s v="Avery 499"/>
    <n v="3486"/>
  </r>
  <r>
    <s v="CA-2015-140403"/>
    <x v="982"/>
    <d v="2015-10-10T00:00:00"/>
    <d v="2015-10-01T00:00:00"/>
    <s v="Same Day"/>
    <s v="TN-21040"/>
    <s v="Tanja Norvell"/>
    <x v="2"/>
    <s v="United States"/>
    <s v="Manteca"/>
    <s v="California"/>
    <n v="95336"/>
    <x v="1"/>
    <s v="FUR-CH-10002774"/>
    <x v="0"/>
    <x v="9"/>
    <s v="Global Deluxe Stacking Chair, Gray"/>
    <n v="122352"/>
  </r>
  <r>
    <s v="CA-2018-113474"/>
    <x v="983"/>
    <d v="2018-03-31T00:00:00"/>
    <d v="2018-03-01T00:00:00"/>
    <s v="First Class"/>
    <s v="TM-21490"/>
    <s v="Tony Molinari"/>
    <x v="0"/>
    <s v="United States"/>
    <s v="Oklahoma City"/>
    <s v="Oklahoma"/>
    <n v="73120"/>
    <x v="2"/>
    <s v="OFF-EN-10004206"/>
    <x v="1"/>
    <x v="11"/>
    <s v="Multimedia Mailers"/>
    <n v="32586"/>
  </r>
  <r>
    <s v="CA-2016-126557"/>
    <x v="984"/>
    <d v="2016-07-17T00:00:00"/>
    <d v="2016-07-01T00:00:00"/>
    <s v="Second Class"/>
    <s v="RL-19615"/>
    <s v="Rob Lucas"/>
    <x v="0"/>
    <s v="United States"/>
    <s v="Chicago"/>
    <s v="Illinois"/>
    <n v="60610"/>
    <x v="2"/>
    <s v="FUR-CH-10004477"/>
    <x v="0"/>
    <x v="9"/>
    <s v="Global Push Button Manager's Chair, Indigo"/>
    <n v="383607"/>
  </r>
  <r>
    <s v="US-2015-165862"/>
    <x v="985"/>
    <d v="2015-07-17T00:00:00"/>
    <d v="2015-07-01T00:00:00"/>
    <s v="Standard Class"/>
    <s v="GK-14620"/>
    <s v="Grace Kelly"/>
    <x v="1"/>
    <s v="United States"/>
    <s v="Los Angeles"/>
    <s v="California"/>
    <n v="90049"/>
    <x v="1"/>
    <s v="FUR-TA-10002855"/>
    <x v="0"/>
    <x v="2"/>
    <s v="Bevis Round Conference Table Top &amp; Single Column Base"/>
    <n v="351216"/>
  </r>
  <r>
    <s v="CA-2018-129490"/>
    <x v="986"/>
    <d v="2018-09-30T00:00:00"/>
    <d v="2018-09-01T00:00:00"/>
    <s v="Standard Class"/>
    <s v="SJ-20125"/>
    <s v="Sanjit Jacobs"/>
    <x v="2"/>
    <s v="United States"/>
    <s v="Miramar"/>
    <s v="Florida"/>
    <n v="33023"/>
    <x v="0"/>
    <s v="FUR-CH-10003298"/>
    <x v="0"/>
    <x v="9"/>
    <s v="Office Star - Contemporary Task Swivel chair with Loop Arms, Charcoal"/>
    <n v="419136"/>
  </r>
  <r>
    <s v="CA-2015-169460"/>
    <x v="987"/>
    <d v="2015-04-21T00:00:00"/>
    <d v="2015-04-01T00:00:00"/>
    <s v="Second Class"/>
    <s v="NF-18595"/>
    <s v="Nicole Fjeld"/>
    <x v="2"/>
    <s v="United States"/>
    <s v="San Jose"/>
    <s v="California"/>
    <n v="95123"/>
    <x v="1"/>
    <s v="FUR-FU-10004017"/>
    <x v="0"/>
    <x v="3"/>
    <s v="Executive Impressions 13&quot; Chairman Wall Clock"/>
    <n v="7614"/>
  </r>
  <r>
    <s v="CA-2016-110947"/>
    <x v="988"/>
    <d v="2016-06-15T00:00:00"/>
    <d v="2016-06-01T00:00:00"/>
    <s v="Standard Class"/>
    <s v="AG-10765"/>
    <s v="Anthony Garverick"/>
    <x v="2"/>
    <s v="United States"/>
    <s v="Hampton"/>
    <s v="Virginia"/>
    <n v="23666"/>
    <x v="0"/>
    <s v="OFF-BI-10001670"/>
    <x v="1"/>
    <x v="5"/>
    <s v="Vinyl Sectional Post Binders"/>
    <n v="1131"/>
  </r>
  <r>
    <s v="US-2016-113327"/>
    <x v="989"/>
    <d v="2016-05-29T00:00:00"/>
    <d v="2016-05-01T00:00:00"/>
    <s v="Second Class"/>
    <s v="BF-11170"/>
    <s v="Ben Ferrer"/>
    <x v="2"/>
    <s v="United States"/>
    <s v="Jacksonville"/>
    <s v="North Carolina"/>
    <n v="28540"/>
    <x v="0"/>
    <s v="OFF-PA-10003790"/>
    <x v="1"/>
    <x v="4"/>
    <s v="Xerox 1991"/>
    <n v="18272"/>
  </r>
  <r>
    <s v="CA-2017-109407"/>
    <x v="990"/>
    <d v="2017-01-26T00:00:00"/>
    <d v="2017-01-01T00:00:00"/>
    <s v="Second Class"/>
    <s v="HG-14965"/>
    <s v="Henry Goldwyn"/>
    <x v="1"/>
    <s v="United States"/>
    <s v="Gulfport"/>
    <s v="Mississippi"/>
    <n v="39503"/>
    <x v="0"/>
    <s v="OFF-BI-10000285"/>
    <x v="1"/>
    <x v="5"/>
    <s v="XtraLife ClearVue Slant-D Ring Binders by Cardinal"/>
    <n v="3136"/>
  </r>
  <r>
    <s v="CA-2016-147501"/>
    <x v="991"/>
    <d v="2016-08-06T00:00:00"/>
    <d v="2016-08-01T00:00:00"/>
    <s v="Standard Class"/>
    <s v="Co-12640"/>
    <s v="Corey-Lock"/>
    <x v="0"/>
    <s v="United States"/>
    <s v="Seattle"/>
    <s v="Washington"/>
    <n v="98105"/>
    <x v="1"/>
    <s v="OFF-BI-10002003"/>
    <x v="1"/>
    <x v="5"/>
    <s v="Ibico Presentation Index for Binding Systems"/>
    <n v="6368"/>
  </r>
  <r>
    <s v="CA-2015-146885"/>
    <x v="992"/>
    <d v="2015-06-05T00:00:00"/>
    <d v="2015-05-01T00:00:00"/>
    <s v="Standard Class"/>
    <s v="EB-13840"/>
    <s v="Ellis Ballard"/>
    <x v="1"/>
    <s v="United States"/>
    <s v="Richmond"/>
    <s v="Virginia"/>
    <n v="23223"/>
    <x v="0"/>
    <s v="OFF-PA-10001622"/>
    <x v="1"/>
    <x v="4"/>
    <s v="Ampad Poly Cover Wirebound Steno Book, 6&quot; x 9&quot; Assorted Colors, Gregg Ruled"/>
    <n v="1362"/>
  </r>
  <r>
    <s v="CA-2017-139556"/>
    <x v="993"/>
    <d v="2017-05-01T00:00:00"/>
    <d v="2017-04-01T00:00:00"/>
    <s v="Standard Class"/>
    <s v="DB-13360"/>
    <s v="Dennis Bolton"/>
    <x v="2"/>
    <s v="United States"/>
    <s v="New York City"/>
    <s v="New York"/>
    <n v="10009"/>
    <x v="3"/>
    <s v="FUR-CH-10004983"/>
    <x v="0"/>
    <x v="9"/>
    <s v="Office Star - Mid Back Dual function Ergonomic High Back Chair with 2-Way Adjustable Arms"/>
    <n v="434646"/>
  </r>
  <r>
    <s v="CA-2017-116547"/>
    <x v="994"/>
    <d v="2017-01-17T00:00:00"/>
    <d v="2017-01-01T00:00:00"/>
    <s v="Standard Class"/>
    <s v="KB-16585"/>
    <s v="Ken Black"/>
    <x v="1"/>
    <s v="United States"/>
    <s v="Seattle"/>
    <s v="Washington"/>
    <n v="98115"/>
    <x v="1"/>
    <s v="FUR-FU-10000076"/>
    <x v="0"/>
    <x v="3"/>
    <s v="24-Hour Round Wall Clock"/>
    <n v="7992"/>
  </r>
  <r>
    <s v="CA-2017-133550"/>
    <x v="995"/>
    <d v="2017-08-06T00:00:00"/>
    <d v="2017-07-01T00:00:00"/>
    <s v="Standard Class"/>
    <s v="KL-16645"/>
    <s v="Ken Lonsdale"/>
    <x v="0"/>
    <s v="United States"/>
    <s v="Detroit"/>
    <s v="Michigan"/>
    <n v="48205"/>
    <x v="2"/>
    <s v="OFF-AP-10001005"/>
    <x v="1"/>
    <x v="6"/>
    <s v="Honeywell Quietcare HEPA Air Cleaner"/>
    <n v="28314"/>
  </r>
  <r>
    <s v="CA-2018-139416"/>
    <x v="996"/>
    <d v="2018-03-29T00:00:00"/>
    <d v="2018-03-01T00:00:00"/>
    <s v="Second Class"/>
    <s v="AG-10270"/>
    <s v="Alejandro Grove"/>
    <x v="0"/>
    <s v="United States"/>
    <s v="Philadelphia"/>
    <s v="Pennsylvania"/>
    <n v="19120"/>
    <x v="3"/>
    <s v="FUR-FU-10003832"/>
    <x v="0"/>
    <x v="3"/>
    <s v="Eldon Expressions Punched Metal &amp; Wood Desk Accessories, Black &amp; Cherry"/>
    <n v="15008"/>
  </r>
  <r>
    <s v="US-2016-138121"/>
    <x v="997"/>
    <d v="2016-12-17T00:00:00"/>
    <d v="2016-12-01T00:00:00"/>
    <s v="Same Day"/>
    <s v="JL-15835"/>
    <s v="John Lee"/>
    <x v="0"/>
    <s v="United States"/>
    <s v="Detroit"/>
    <s v="Michigan"/>
    <n v="48205"/>
    <x v="2"/>
    <s v="OFF-BI-10000320"/>
    <x v="1"/>
    <x v="5"/>
    <s v="GBC Plastic Binding Combs"/>
    <n v="2952"/>
  </r>
  <r>
    <s v="CA-2016-109736"/>
    <x v="998"/>
    <d v="2016-10-11T00:00:00"/>
    <d v="2016-10-01T00:00:00"/>
    <s v="First Class"/>
    <s v="DJ-13420"/>
    <s v="Denny Joy"/>
    <x v="1"/>
    <s v="United States"/>
    <s v="San Francisco"/>
    <s v="California"/>
    <n v="94109"/>
    <x v="1"/>
    <s v="OFF-PA-10004101"/>
    <x v="1"/>
    <x v="4"/>
    <s v="Xerox 1894"/>
    <n v="4536"/>
  </r>
  <r>
    <s v="CA-2016-118227"/>
    <x v="999"/>
    <d v="2016-04-28T00:00:00"/>
    <d v="2016-04-01T00:00:00"/>
    <s v="Standard Class"/>
    <s v="DB-13270"/>
    <s v="Deborah Brumfield"/>
    <x v="2"/>
    <s v="United States"/>
    <s v="New York City"/>
    <s v="New York"/>
    <n v="10009"/>
    <x v="3"/>
    <s v="OFF-AR-10001044"/>
    <x v="1"/>
    <x v="8"/>
    <s v="BOSTON Ranger #55 Pencil Sharpener, Black"/>
    <n v="2599"/>
  </r>
  <r>
    <s v="CA-2016-123155"/>
    <x v="1000"/>
    <d v="2016-03-12T00:00:00"/>
    <d v="2016-03-01T00:00:00"/>
    <s v="First Class"/>
    <s v="NS-18640"/>
    <s v="Noel Staavos"/>
    <x v="1"/>
    <s v="United States"/>
    <s v="San Antonio"/>
    <s v="Texas"/>
    <n v="78207"/>
    <x v="2"/>
    <s v="TEC-AC-10002473"/>
    <x v="2"/>
    <x v="12"/>
    <s v="Maxell 4.7GB DVD-R"/>
    <n v="11352"/>
  </r>
  <r>
    <s v="CA-2015-150301"/>
    <x v="1001"/>
    <d v="2015-07-10T00:00:00"/>
    <d v="2015-07-01T00:00:00"/>
    <s v="First Class"/>
    <s v="MH-18025"/>
    <s v="Michelle Huthwaite"/>
    <x v="0"/>
    <s v="United States"/>
    <s v="Buffalo"/>
    <s v="New York"/>
    <n v="14215"/>
    <x v="3"/>
    <s v="FUR-CH-10002647"/>
    <x v="0"/>
    <x v="9"/>
    <s v="Situations Contoured Folding Chairs, 4/Set"/>
    <n v="63882"/>
  </r>
  <r>
    <s v="CA-2018-136364"/>
    <x v="1002"/>
    <d v="2018-07-17T00:00:00"/>
    <d v="2018-07-01T00:00:00"/>
    <s v="Second Class"/>
    <s v="MH-17455"/>
    <s v="Mark Hamilton"/>
    <x v="0"/>
    <s v="United States"/>
    <s v="Philadelphia"/>
    <s v="Pennsylvania"/>
    <n v="19140"/>
    <x v="3"/>
    <s v="TEC-PH-10003885"/>
    <x v="2"/>
    <x v="10"/>
    <s v="Cisco SPA508G"/>
    <n v="39594"/>
  </r>
  <r>
    <s v="CA-2016-140025"/>
    <x v="1003"/>
    <d v="2016-04-11T00:00:00"/>
    <d v="2016-04-01T00:00:00"/>
    <s v="Standard Class"/>
    <s v="PF-19120"/>
    <s v="Peter Fuller"/>
    <x v="0"/>
    <s v="United States"/>
    <s v="San Antonio"/>
    <s v="Texas"/>
    <n v="78207"/>
    <x v="2"/>
    <s v="OFF-AP-10002651"/>
    <x v="1"/>
    <x v="6"/>
    <s v="Hoover Upright Vacuum With Dirt Cup"/>
    <n v="463248"/>
  </r>
  <r>
    <s v="CA-2016-137526"/>
    <x v="1004"/>
    <d v="2016-01-17T00:00:00"/>
    <d v="2016-01-01T00:00:00"/>
    <s v="Standard Class"/>
    <s v="PB-19150"/>
    <s v="Philip Brown"/>
    <x v="0"/>
    <s v="United States"/>
    <s v="Los Angeles"/>
    <s v="California"/>
    <n v="90004"/>
    <x v="1"/>
    <s v="OFF-BI-10003364"/>
    <x v="1"/>
    <x v="5"/>
    <s v="Binding Machine Supplies"/>
    <n v="70008"/>
  </r>
  <r>
    <s v="US-2015-146353"/>
    <x v="1005"/>
    <d v="2015-10-16T00:00:00"/>
    <d v="2015-10-01T00:00:00"/>
    <s v="Second Class"/>
    <s v="JE-15610"/>
    <s v="Jim Epp"/>
    <x v="1"/>
    <s v="United States"/>
    <s v="Concord"/>
    <s v="New Hampshire"/>
    <n v="3301"/>
    <x v="3"/>
    <s v="OFF-BI-10003476"/>
    <x v="1"/>
    <x v="5"/>
    <s v="Avery Metallic Poly Binders"/>
    <n v="2292"/>
  </r>
  <r>
    <s v="CA-2017-160304"/>
    <x v="1006"/>
    <d v="2017-01-07T00:00:00"/>
    <d v="2017-01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94"/>
  </r>
  <r>
    <s v="CA-2016-155124"/>
    <x v="1007"/>
    <d v="2016-03-21T00:00:00"/>
    <d v="2016-03-01T00:00:00"/>
    <s v="Standard Class"/>
    <s v="KS-16300"/>
    <s v="Karen Seio"/>
    <x v="1"/>
    <s v="United States"/>
    <s v="Lehi"/>
    <s v="Utah"/>
    <n v="84043"/>
    <x v="1"/>
    <s v="TEC-PH-10003356"/>
    <x v="2"/>
    <x v="10"/>
    <s v="SmartStand Mobile Device Holder, Assorted Colors"/>
    <n v="16776"/>
  </r>
  <r>
    <s v="CA-2018-150931"/>
    <x v="1008"/>
    <d v="2018-01-13T00:00:00"/>
    <d v="2018-01-01T00:00:00"/>
    <s v="Standard Class"/>
    <s v="DP-13390"/>
    <s v="Dennis Pardue"/>
    <x v="2"/>
    <s v="United States"/>
    <s v="Tuscaloosa"/>
    <s v="Alabama"/>
    <n v="35401"/>
    <x v="0"/>
    <s v="OFF-BI-10004728"/>
    <x v="1"/>
    <x v="5"/>
    <s v="Wilson Jones Turn Tabs Binder Tool for Ring Binders"/>
    <n v="3374"/>
  </r>
  <r>
    <s v="CA-2015-156587"/>
    <x v="1009"/>
    <d v="2015-03-08T00:00:00"/>
    <d v="2015-03-01T00:00:00"/>
    <s v="First Class"/>
    <s v="AB-10015"/>
    <s v="Aaron Bergman"/>
    <x v="0"/>
    <s v="United States"/>
    <s v="Seattle"/>
    <s v="Washington"/>
    <n v="98103"/>
    <x v="1"/>
    <s v="FUR-CH-10004477"/>
    <x v="0"/>
    <x v="9"/>
    <s v="Global Push Button Manager's Chair, Indigo"/>
    <n v="48712"/>
  </r>
  <r>
    <s v="CA-2015-125171"/>
    <x v="1010"/>
    <d v="2015-09-03T00:00:00"/>
    <d v="2015-09-01T00:00:00"/>
    <s v="Same Day"/>
    <s v="AG-10390"/>
    <s v="Allen Goldenen"/>
    <x v="0"/>
    <s v="United States"/>
    <s v="New York City"/>
    <s v="New York"/>
    <n v="10009"/>
    <x v="3"/>
    <s v="OFF-LA-10001175"/>
    <x v="1"/>
    <x v="1"/>
    <s v="Avery 514"/>
    <n v="144"/>
  </r>
  <r>
    <s v="CA-2017-129238"/>
    <x v="1011"/>
    <d v="2017-02-04T00:00:00"/>
    <d v="2017-01-01T00:00:00"/>
    <s v="Standard Class"/>
    <s v="SC-20050"/>
    <s v="Sample Company A"/>
    <x v="2"/>
    <s v="United States"/>
    <s v="Los Angeles"/>
    <s v="California"/>
    <n v="90045"/>
    <x v="1"/>
    <s v="TEC-PH-10004120"/>
    <x v="2"/>
    <x v="10"/>
    <s v="AT&amp;T 1080 Phone"/>
    <n v="109592"/>
  </r>
  <r>
    <s v="CA-2017-136126"/>
    <x v="1012"/>
    <d v="2017-05-24T00:00:00"/>
    <d v="2017-05-01T00:00:00"/>
    <s v="Same Day"/>
    <s v="EH-14125"/>
    <s v="Eugene Hildebrand"/>
    <x v="2"/>
    <s v="United States"/>
    <s v="Newport News"/>
    <s v="Virginia"/>
    <n v="23602"/>
    <x v="0"/>
    <s v="OFF-SU-10000898"/>
    <x v="1"/>
    <x v="16"/>
    <s v="Acme Hot Forged Carbon Steel Scissors with Nickel-Plated Handles, 3 7/8&quot; Cut, 8&quot;L"/>
    <n v="695"/>
  </r>
  <r>
    <s v="CA-2015-156006"/>
    <x v="1013"/>
    <d v="2015-05-02T00:00:00"/>
    <d v="2015-04-01T00:00:00"/>
    <s v="Second Class"/>
    <s v="TM-21010"/>
    <s v="Tamara Manning"/>
    <x v="0"/>
    <s v="United States"/>
    <s v="Jackson"/>
    <s v="Mississippi"/>
    <n v="39212"/>
    <x v="0"/>
    <s v="TEC-AC-10002550"/>
    <x v="2"/>
    <x v="12"/>
    <s v="Maxell 4.7GB DVD-RW 3/Pack"/>
    <n v="4779"/>
  </r>
  <r>
    <s v="CA-2016-162166"/>
    <x v="1014"/>
    <d v="2016-09-11T00:00:00"/>
    <d v="2016-09-01T00:00:00"/>
    <s v="First Class"/>
    <s v="NM-18520"/>
    <s v="Neoma Murray"/>
    <x v="0"/>
    <s v="United States"/>
    <s v="Moreno Valley"/>
    <s v="California"/>
    <n v="92553"/>
    <x v="1"/>
    <s v="OFF-PA-10002606"/>
    <x v="1"/>
    <x v="4"/>
    <s v="Xerox 1928"/>
    <n v="264"/>
  </r>
  <r>
    <s v="CA-2017-120796"/>
    <x v="1015"/>
    <d v="2017-04-07T00:00:00"/>
    <d v="2017-04-01T00:00:00"/>
    <s v="Standard Class"/>
    <s v="CS-11950"/>
    <s v="Carlos Soltero"/>
    <x v="0"/>
    <s v="United States"/>
    <s v="Philadelphia"/>
    <s v="Pennsylvania"/>
    <n v="19140"/>
    <x v="3"/>
    <s v="OFF-BI-10004330"/>
    <x v="1"/>
    <x v="5"/>
    <s v="GBC Velobind Prepunched Cover Sets, Regency Series"/>
    <n v="99846"/>
  </r>
  <r>
    <s v="CA-2018-151071"/>
    <x v="1016"/>
    <d v="2018-04-29T00:00:00"/>
    <d v="2018-04-01T00:00:00"/>
    <s v="Second Class"/>
    <s v="MB-18085"/>
    <s v="Mick Brown"/>
    <x v="0"/>
    <s v="United States"/>
    <s v="Los Angeles"/>
    <s v="California"/>
    <n v="90049"/>
    <x v="1"/>
    <s v="OFF-BI-10002103"/>
    <x v="1"/>
    <x v="5"/>
    <s v="Cardinal Slant-D Ring Binder, Heavy Gauge Vinyl"/>
    <n v="13904"/>
  </r>
  <r>
    <s v="CA-2015-134572"/>
    <x v="1017"/>
    <d v="2015-04-22T00:00:00"/>
    <d v="2015-04-01T00:00:00"/>
    <s v="Second Class"/>
    <s v="SV-20365"/>
    <s v="Seth Vernon"/>
    <x v="0"/>
    <s v="United States"/>
    <s v="Houston"/>
    <s v="Texas"/>
    <n v="77070"/>
    <x v="2"/>
    <s v="FUR-TA-10001705"/>
    <x v="0"/>
    <x v="2"/>
    <s v="Bush Advantage Collection Round Conference Table"/>
    <n v="7441"/>
  </r>
  <r>
    <s v="CA-2018-132738"/>
    <x v="1018"/>
    <d v="2018-08-07T00:00:00"/>
    <d v="2018-08-01T00:00:00"/>
    <s v="First Class"/>
    <s v="HM-14860"/>
    <s v="Harry Marie"/>
    <x v="1"/>
    <s v="United States"/>
    <s v="Loveland"/>
    <s v="Colorado"/>
    <n v="80538"/>
    <x v="1"/>
    <s v="OFF-PA-10001752"/>
    <x v="1"/>
    <x v="4"/>
    <s v="Hammermill CopyPlus Copy Paper (20Lb. and 84 Bright)"/>
    <n v="7968"/>
  </r>
  <r>
    <s v="CA-2017-150658"/>
    <x v="1019"/>
    <d v="2017-11-22T00:00:00"/>
    <d v="2017-11-01T00:00:00"/>
    <s v="Standard Class"/>
    <s v="MS-17365"/>
    <s v="Maribeth Schnelling"/>
    <x v="0"/>
    <s v="United States"/>
    <s v="Carlsbad"/>
    <s v="New Mexico"/>
    <n v="88220"/>
    <x v="1"/>
    <s v="OFF-BI-10004140"/>
    <x v="1"/>
    <x v="5"/>
    <s v="Avery Non-Stick Binders"/>
    <n v="10776"/>
  </r>
  <r>
    <s v="CA-2016-123330"/>
    <x v="1020"/>
    <d v="2016-06-27T00:00:00"/>
    <d v="2016-06-01T00:00:00"/>
    <s v="Standard Class"/>
    <s v="EP-13915"/>
    <s v="Emily Phan"/>
    <x v="0"/>
    <s v="United States"/>
    <s v="Deltona"/>
    <s v="Florida"/>
    <n v="32725"/>
    <x v="0"/>
    <s v="TEC-PH-10001819"/>
    <x v="2"/>
    <x v="10"/>
    <s v="Innergie mMini Combo Duo USB Travel Charging Kit"/>
    <n v="107976"/>
  </r>
  <r>
    <s v="CA-2015-111192"/>
    <x v="1021"/>
    <d v="2015-08-05T00:00:00"/>
    <d v="2015-07-01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84"/>
  </r>
  <r>
    <s v="CA-2017-122903"/>
    <x v="1022"/>
    <d v="2017-05-29T00:00:00"/>
    <d v="2017-05-01T00:00:00"/>
    <s v="Second Class"/>
    <s v="LA-16780"/>
    <s v="Laura Armstrong"/>
    <x v="1"/>
    <s v="United States"/>
    <s v="Detroit"/>
    <s v="Michigan"/>
    <n v="48205"/>
    <x v="2"/>
    <s v="FUR-CH-10002024"/>
    <x v="0"/>
    <x v="9"/>
    <s v="HON 5400 Series Task Chairs for Big and Tall"/>
    <n v="35049"/>
  </r>
  <r>
    <s v="CA-2016-115567"/>
    <x v="1023"/>
    <d v="2016-09-18T00:00:00"/>
    <d v="2016-09-01T00:00:00"/>
    <s v="Standard Class"/>
    <s v="ZC-21910"/>
    <s v="Zuschuss Carroll"/>
    <x v="0"/>
    <s v="United States"/>
    <s v="Columbus"/>
    <s v="Indiana"/>
    <n v="47201"/>
    <x v="2"/>
    <s v="TEC-AC-10001314"/>
    <x v="2"/>
    <x v="12"/>
    <s v="Case Logic 2.4GHz Wireless Keyboard"/>
    <n v="19996"/>
  </r>
  <r>
    <s v="US-2018-141943"/>
    <x v="1024"/>
    <d v="2018-05-09T00:00:00"/>
    <d v="2018-05-01T00:00:00"/>
    <s v="Standard Class"/>
    <s v="DK-12985"/>
    <s v="Darren Koutras"/>
    <x v="0"/>
    <s v="United States"/>
    <s v="San Francisco"/>
    <s v="California"/>
    <n v="94122"/>
    <x v="1"/>
    <s v="OFF-EN-10003448"/>
    <x v="1"/>
    <x v="11"/>
    <s v="Peel &amp; Seel Recycled Catalog Envelopes, Brown"/>
    <n v="2316"/>
  </r>
  <r>
    <s v="CA-2015-159709"/>
    <x v="1025"/>
    <d v="2015-05-15T00:00:00"/>
    <d v="2015-05-01T00:00:00"/>
    <s v="Standard Class"/>
    <s v="AI-10855"/>
    <s v="Arianne Irving"/>
    <x v="0"/>
    <s v="United States"/>
    <s v="Kent"/>
    <s v="Washington"/>
    <n v="98031"/>
    <x v="1"/>
    <s v="OFF-EN-10001434"/>
    <x v="1"/>
    <x v="11"/>
    <s v="Strathmore #10 Envelopes, Ultimate White"/>
    <n v="15813"/>
  </r>
  <r>
    <s v="CA-2016-156755"/>
    <x v="1026"/>
    <d v="2016-01-18T00:00:00"/>
    <d v="2016-01-01T00:00:00"/>
    <s v="Standard Class"/>
    <s v="YS-21880"/>
    <s v="Yana Sorensen"/>
    <x v="1"/>
    <s v="United States"/>
    <s v="Newark"/>
    <s v="Delaware"/>
    <n v="19711"/>
    <x v="3"/>
    <s v="OFF-ST-10002615"/>
    <x v="1"/>
    <x v="7"/>
    <s v="Dual Level, Single-Width Filing Carts"/>
    <n v="46518"/>
  </r>
  <r>
    <s v="CA-2015-140487"/>
    <x v="1027"/>
    <d v="2015-06-20T00:00:00"/>
    <d v="2015-06-01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94"/>
  </r>
  <r>
    <s v="CA-2017-119865"/>
    <x v="1028"/>
    <d v="2017-06-26T00:00:00"/>
    <d v="2017-06-01T00:00:00"/>
    <s v="Standard Class"/>
    <s v="AS-10090"/>
    <s v="Adam Shillingsburg"/>
    <x v="0"/>
    <s v="United States"/>
    <s v="New York City"/>
    <s v="New York"/>
    <n v="10011"/>
    <x v="3"/>
    <s v="OFF-BI-10001553"/>
    <x v="1"/>
    <x v="5"/>
    <s v="SpineVue Locking Slant-D Ring Binders by Cardinal"/>
    <n v="3656"/>
  </r>
  <r>
    <s v="CA-2018-131037"/>
    <x v="1029"/>
    <d v="2018-08-23T00:00:00"/>
    <d v="2018-08-01T00:00:00"/>
    <s v="First Class"/>
    <s v="TM-21490"/>
    <s v="Tony Molinari"/>
    <x v="0"/>
    <s v="United States"/>
    <s v="San Francisco"/>
    <s v="California"/>
    <n v="94110"/>
    <x v="1"/>
    <s v="FUR-TA-10001768"/>
    <x v="0"/>
    <x v="2"/>
    <s v="Hon Racetrack Conference Tables"/>
    <n v="210008"/>
  </r>
  <r>
    <s v="CA-2017-156265"/>
    <x v="1030"/>
    <d v="2017-08-04T00:00:00"/>
    <d v="2017-08-01T00:00:00"/>
    <s v="Second Class"/>
    <s v="BF-11020"/>
    <s v="Barry Französisch"/>
    <x v="1"/>
    <s v="United States"/>
    <s v="Los Angeles"/>
    <s v="California"/>
    <n v="90032"/>
    <x v="1"/>
    <s v="FUR-TA-10001691"/>
    <x v="0"/>
    <x v="2"/>
    <s v="Barricks Non-Folding Utility Table with Steel Legs, Laminate Tops"/>
    <n v="136464"/>
  </r>
  <r>
    <s v="US-2016-168914"/>
    <x v="1031"/>
    <d v="2016-05-27T00:00:00"/>
    <d v="2016-05-01T00:00:00"/>
    <s v="Standard Class"/>
    <s v="JE-15745"/>
    <s v="Joel Eaton"/>
    <x v="0"/>
    <s v="United States"/>
    <s v="Frankfort"/>
    <s v="Illinois"/>
    <n v="60423"/>
    <x v="2"/>
    <s v="OFF-AP-10000358"/>
    <x v="1"/>
    <x v="6"/>
    <s v="Fellowes Basic Home/Office Series Surge Protectors"/>
    <n v="20768"/>
  </r>
  <r>
    <s v="US-2018-114034"/>
    <x v="1032"/>
    <d v="2018-01-08T00:00:00"/>
    <d v="2018-01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4"/>
    <s v="Xerox 1905"/>
    <n v="3888"/>
  </r>
  <r>
    <s v="CA-2018-147452"/>
    <x v="1033"/>
    <d v="2018-10-03T00:00:00"/>
    <d v="2018-09-01T00:00:00"/>
    <s v="First Class"/>
    <s v="CS-11845"/>
    <s v="Cari Sayre"/>
    <x v="1"/>
    <s v="United States"/>
    <s v="Seattle"/>
    <s v="Washington"/>
    <n v="98103"/>
    <x v="1"/>
    <s v="OFF-PA-10001838"/>
    <x v="1"/>
    <x v="4"/>
    <s v="Adams Telephone Message Book W/Dividers/Space For Phone Numbers, 5 1/4&quot;X8 1/2&quot;, 300/Messages"/>
    <n v="1176"/>
  </r>
  <r>
    <s v="CA-2018-125913"/>
    <x v="1034"/>
    <d v="2018-01-16T00:00:00"/>
    <d v="2018-01-01T00:00:00"/>
    <s v="Same Day"/>
    <s v="JO-15145"/>
    <s v="Jack O'Briant"/>
    <x v="1"/>
    <s v="United States"/>
    <s v="Los Angeles"/>
    <s v="California"/>
    <n v="90008"/>
    <x v="1"/>
    <s v="FUR-FU-10001487"/>
    <x v="0"/>
    <x v="3"/>
    <s v="Eldon Expressions Wood and Plastic Desk Accessories, Cherry Wood"/>
    <n v="2792"/>
  </r>
  <r>
    <s v="CA-2015-159681"/>
    <x v="1035"/>
    <d v="2015-12-13T00:00:00"/>
    <d v="2015-12-01T00:00:00"/>
    <s v="Standard Class"/>
    <s v="PO-18850"/>
    <s v="Patrick O'Brill"/>
    <x v="0"/>
    <s v="United States"/>
    <s v="Virginia Beach"/>
    <s v="Virginia"/>
    <n v="23464"/>
    <x v="0"/>
    <s v="OFF-PA-10003641"/>
    <x v="1"/>
    <x v="4"/>
    <s v="Xerox 1909"/>
    <n v="10552"/>
  </r>
  <r>
    <s v="CA-2017-123414"/>
    <x v="1036"/>
    <d v="2017-08-27T00:00:00"/>
    <d v="2017-08-01T00:00:00"/>
    <s v="Standard Class"/>
    <s v="SU-20665"/>
    <s v="Stephanie Ulpright"/>
    <x v="2"/>
    <s v="United States"/>
    <s v="Greenville"/>
    <s v="North Carolina"/>
    <n v="27834"/>
    <x v="0"/>
    <s v="OFF-LA-10004559"/>
    <x v="1"/>
    <x v="1"/>
    <s v="Avery 49"/>
    <n v="9216"/>
  </r>
  <r>
    <s v="CA-2015-130813"/>
    <x v="1037"/>
    <d v="2015-01-08T00:00:00"/>
    <d v="2015-01-01T00:00:00"/>
    <s v="Second Class"/>
    <s v="LS-17230"/>
    <s v="Lycoris Saunders"/>
    <x v="0"/>
    <s v="United States"/>
    <s v="Los Angeles"/>
    <s v="California"/>
    <n v="90049"/>
    <x v="1"/>
    <s v="OFF-PA-10002005"/>
    <x v="1"/>
    <x v="4"/>
    <s v="Xerox 225"/>
    <n v="1944"/>
  </r>
  <r>
    <s v="CA-2016-149811"/>
    <x v="1038"/>
    <d v="2016-01-10T00:00:00"/>
    <d v="2016-01-01T00:00:00"/>
    <s v="Standard Class"/>
    <s v="CS-12250"/>
    <s v="Chris Selesnick"/>
    <x v="1"/>
    <s v="United States"/>
    <s v="Woodbury"/>
    <s v="Minnesota"/>
    <n v="55125"/>
    <x v="2"/>
    <s v="OFF-BI-10003676"/>
    <x v="1"/>
    <x v="5"/>
    <s v="GBC Standard Recycled Report Covers, Clear Plastic Sheets"/>
    <n v="3234"/>
  </r>
  <r>
    <s v="CA-2015-123477"/>
    <x v="1039"/>
    <d v="2015-01-21T00:00:00"/>
    <d v="2015-01-01T00:00:00"/>
    <s v="Second Class"/>
    <s v="DW-13195"/>
    <s v="David Wiener"/>
    <x v="1"/>
    <s v="United States"/>
    <s v="Springfield"/>
    <s v="Oregon"/>
    <n v="97477"/>
    <x v="1"/>
    <s v="OFF-AP-10000692"/>
    <x v="1"/>
    <x v="6"/>
    <s v="Fellowes Mighty 8 Compact Surge Protector"/>
    <n v="64864"/>
  </r>
  <r>
    <s v="CA-2016-118738"/>
    <x v="1040"/>
    <d v="2016-10-30T00:00:00"/>
    <d v="2016-10-01T00:00:00"/>
    <s v="Standard Class"/>
    <s v="AG-10495"/>
    <s v="Andrew Gjertsen"/>
    <x v="1"/>
    <s v="United States"/>
    <s v="Houston"/>
    <s v="Texas"/>
    <n v="77041"/>
    <x v="2"/>
    <s v="OFF-PA-10003177"/>
    <x v="1"/>
    <x v="4"/>
    <s v="Xerox 1999"/>
    <n v="15552"/>
  </r>
  <r>
    <s v="CA-2017-136021"/>
    <x v="1041"/>
    <d v="2017-08-18T00:00:00"/>
    <d v="2017-08-01T00:00:00"/>
    <s v="Standard Class"/>
    <s v="JM-15580"/>
    <s v="Jill Matthias"/>
    <x v="0"/>
    <s v="United States"/>
    <s v="Los Angeles"/>
    <s v="California"/>
    <n v="90045"/>
    <x v="1"/>
    <s v="OFF-PA-10000551"/>
    <x v="1"/>
    <x v="4"/>
    <s v="Array Memo Cubes"/>
    <n v="1554"/>
  </r>
  <r>
    <s v="CA-2018-164707"/>
    <x v="1042"/>
    <d v="2018-02-21T00:00:00"/>
    <d v="2018-02-01T00:00:00"/>
    <s v="Second Class"/>
    <s v="CV-12805"/>
    <s v="Cynthia Voltz"/>
    <x v="1"/>
    <s v="United States"/>
    <s v="Los Angeles"/>
    <s v="California"/>
    <n v="90045"/>
    <x v="1"/>
    <s v="TEC-PH-10001924"/>
    <x v="2"/>
    <x v="10"/>
    <s v="iHome FM Clock Radio with Lightning Dock"/>
    <n v="167976"/>
  </r>
  <r>
    <s v="CA-2018-123043"/>
    <x v="1043"/>
    <d v="2018-08-29T00:00:00"/>
    <d v="2018-08-01T00:00:00"/>
    <s v="Standard Class"/>
    <s v="AH-10195"/>
    <s v="Alan Haines"/>
    <x v="1"/>
    <s v="United States"/>
    <s v="New York City"/>
    <s v="New York"/>
    <n v="10024"/>
    <x v="3"/>
    <s v="OFF-BI-10003910"/>
    <x v="1"/>
    <x v="5"/>
    <s v="DXL Angle-View Binders with Locking Rings by Samsill"/>
    <n v="24672"/>
  </r>
  <r>
    <s v="US-2017-151827"/>
    <x v="1044"/>
    <d v="2017-04-02T00:00:00"/>
    <d v="2017-03-01T00:00:00"/>
    <s v="Second Class"/>
    <s v="CS-11950"/>
    <s v="Carlos Soltero"/>
    <x v="0"/>
    <s v="United States"/>
    <s v="Philadelphia"/>
    <s v="Pennsylvania"/>
    <n v="19134"/>
    <x v="3"/>
    <s v="TEC-PH-10002789"/>
    <x v="2"/>
    <x v="10"/>
    <s v="LG Exalt"/>
    <n v="280782"/>
  </r>
  <r>
    <s v="CA-2018-160962"/>
    <x v="1045"/>
    <d v="2018-05-02T00:00:00"/>
    <d v="2018-04-01T00:00:00"/>
    <s v="Standard Class"/>
    <s v="MC-17605"/>
    <s v="Matt Connell"/>
    <x v="1"/>
    <s v="United States"/>
    <s v="Philadelphia"/>
    <s v="Pennsylvania"/>
    <n v="19143"/>
    <x v="3"/>
    <s v="OFF-ST-10001325"/>
    <x v="1"/>
    <x v="7"/>
    <s v="Sterilite Officeware Hinged File Box"/>
    <n v="8384"/>
  </r>
  <r>
    <s v="CA-2015-146591"/>
    <x v="1046"/>
    <d v="2015-01-20T00:00:00"/>
    <d v="2015-01-01T00:00:00"/>
    <s v="First Class"/>
    <s v="TS-21340"/>
    <s v="Toby Swindell"/>
    <x v="0"/>
    <s v="United States"/>
    <s v="Scottsdale"/>
    <s v="Arizona"/>
    <n v="85254"/>
    <x v="1"/>
    <s v="OFF-BI-10003676"/>
    <x v="1"/>
    <x v="5"/>
    <s v="GBC Standard Recycled Report Covers, Clear Plastic Sheets"/>
    <n v="3234"/>
  </r>
  <r>
    <s v="CA-2015-107706"/>
    <x v="1047"/>
    <d v="2015-02-19T00:00:00"/>
    <d v="2015-02-01T00:00:00"/>
    <s v="Second Class"/>
    <s v="ST-20530"/>
    <s v="Shui Tom"/>
    <x v="0"/>
    <s v="United States"/>
    <s v="Houston"/>
    <s v="Texas"/>
    <n v="77095"/>
    <x v="2"/>
    <s v="OFF-PA-10000466"/>
    <x v="1"/>
    <x v="4"/>
    <s v="Memo Book, 100 Message Capacity, 5 3/8” x 11”"/>
    <n v="16176"/>
  </r>
  <r>
    <s v="CA-2018-105487"/>
    <x v="1048"/>
    <d v="2018-10-14T00:00:00"/>
    <d v="2018-10-01T00:00:00"/>
    <s v="Standard Class"/>
    <s v="CS-12250"/>
    <s v="Chris Selesnick"/>
    <x v="1"/>
    <s v="United States"/>
    <s v="San Diego"/>
    <s v="California"/>
    <n v="92105"/>
    <x v="1"/>
    <s v="TEC-PH-10001336"/>
    <x v="2"/>
    <x v="10"/>
    <s v="Digium D40 VoIP phone"/>
    <n v="103192"/>
  </r>
  <r>
    <s v="CA-2016-168529"/>
    <x v="1049"/>
    <d v="2016-10-12T00:00:00"/>
    <d v="2016-10-01T00:00:00"/>
    <s v="Standard Class"/>
    <s v="MB-17305"/>
    <s v="Maria Bertelson"/>
    <x v="0"/>
    <s v="United States"/>
    <s v="San Francisco"/>
    <s v="California"/>
    <n v="94122"/>
    <x v="1"/>
    <s v="FUR-FU-10001588"/>
    <x v="0"/>
    <x v="3"/>
    <s v="Deflect-o SuperTray Unbreakable Stackable Tray, Letter, Black"/>
    <n v="1459"/>
  </r>
  <r>
    <s v="US-2015-137680"/>
    <x v="1050"/>
    <d v="2015-03-02T00:00:00"/>
    <d v="2015-02-01T00:00:00"/>
    <s v="Standard Class"/>
    <s v="JH-15430"/>
    <s v="Jennifer Halladay"/>
    <x v="0"/>
    <s v="United States"/>
    <s v="Medford"/>
    <s v="Oregon"/>
    <n v="97504"/>
    <x v="1"/>
    <s v="OFF-PA-10000174"/>
    <x v="1"/>
    <x v="4"/>
    <s v="Message Book, Wirebound, Four 5 1/2&quot; X 4&quot; Forms/Pg., 200 Dupl. Sets/Book"/>
    <n v="32896"/>
  </r>
  <r>
    <s v="CA-2016-103177"/>
    <x v="1051"/>
    <d v="2016-06-01T00:00:00"/>
    <d v="2016-05-01T00:00:00"/>
    <s v="First Class"/>
    <s v="EN-13780"/>
    <s v="Edward Nazzal"/>
    <x v="0"/>
    <s v="United States"/>
    <s v="New York City"/>
    <s v="New York"/>
    <n v="10009"/>
    <x v="3"/>
    <s v="TEC-PH-10001795"/>
    <x v="2"/>
    <x v="10"/>
    <s v="RCA H5401RE1 DECT 6.0 4-Line Cordless Handset With Caller ID/Call Waiting"/>
    <n v="23997"/>
  </r>
  <r>
    <s v="CA-2016-137106"/>
    <x v="1052"/>
    <d v="2016-04-04T00:00:00"/>
    <d v="2016-03-01T00:00:00"/>
    <s v="Standard Class"/>
    <s v="SC-20260"/>
    <s v="Scott Cohen"/>
    <x v="1"/>
    <s v="United States"/>
    <s v="Jacksonville"/>
    <s v="Florida"/>
    <n v="32216"/>
    <x v="0"/>
    <s v="TEC-PH-10000011"/>
    <x v="2"/>
    <x v="10"/>
    <s v="PureGear Roll-On Screen Protector"/>
    <n v="7996"/>
  </r>
  <r>
    <s v="US-2018-150595"/>
    <x v="1053"/>
    <d v="2018-05-26T00:00:00"/>
    <d v="2018-05-01T00:00:00"/>
    <s v="Standard Class"/>
    <s v="LE-16810"/>
    <s v="Laurel Elliston"/>
    <x v="0"/>
    <s v="United States"/>
    <s v="Chicago"/>
    <s v="Illinois"/>
    <n v="60653"/>
    <x v="2"/>
    <s v="FUR-CH-10000513"/>
    <x v="0"/>
    <x v="9"/>
    <s v="High-Back Leather Manager's Chair"/>
    <n v="181986"/>
  </r>
  <r>
    <s v="CA-2017-134936"/>
    <x v="1054"/>
    <d v="2017-12-25T00:00:00"/>
    <d v="2017-12-01T00:00:00"/>
    <s v="Standard Class"/>
    <s v="ES-14080"/>
    <s v="Erin Smith"/>
    <x v="1"/>
    <s v="United States"/>
    <s v="Tucson"/>
    <s v="Arizona"/>
    <n v="85705"/>
    <x v="1"/>
    <s v="FUR-TA-10001086"/>
    <x v="0"/>
    <x v="2"/>
    <s v="SAFCO PlanMaster Boards, 60w x 37-1/2d, White Melamine"/>
    <n v="45597"/>
  </r>
  <r>
    <s v="CA-2018-163818"/>
    <x v="1055"/>
    <d v="2018-10-08T00:00:00"/>
    <d v="2018-10-01T00:00:00"/>
    <s v="Standard Class"/>
    <s v="PS-18970"/>
    <s v="Paul Stevenson"/>
    <x v="2"/>
    <s v="United States"/>
    <s v="Clinton"/>
    <s v="Maryland"/>
    <n v="20735"/>
    <x v="3"/>
    <s v="FUR-FU-10000076"/>
    <x v="0"/>
    <x v="3"/>
    <s v="24-Hour Round Wall Clock"/>
    <n v="1998"/>
  </r>
  <r>
    <s v="CA-2017-147431"/>
    <x v="1056"/>
    <d v="2017-02-07T00:00:00"/>
    <d v="2017-02-01T00:00:00"/>
    <s v="Standard Class"/>
    <s v="AB-10105"/>
    <s v="Adrian Barton"/>
    <x v="0"/>
    <s v="United States"/>
    <s v="New York City"/>
    <s v="New York"/>
    <n v="10011"/>
    <x v="3"/>
    <s v="OFF-ST-10003994"/>
    <x v="1"/>
    <x v="7"/>
    <s v="Belkin 19&quot; Center-Weighted Shelf, Gray"/>
    <n v="11796"/>
  </r>
  <r>
    <s v="CA-2017-121748"/>
    <x v="1057"/>
    <d v="2017-10-28T00:00:00"/>
    <d v="2017-10-01T00:00:00"/>
    <s v="Second Class"/>
    <s v="VW-21775"/>
    <s v="Victoria Wilson"/>
    <x v="1"/>
    <s v="United States"/>
    <s v="Los Angeles"/>
    <s v="California"/>
    <n v="90032"/>
    <x v="1"/>
    <s v="TEC-AC-10003063"/>
    <x v="2"/>
    <x v="12"/>
    <s v="Micro Innovations USB RF Wireless Keyboard with Mouse"/>
    <n v="100"/>
  </r>
  <r>
    <s v="CA-2015-127614"/>
    <x v="1058"/>
    <d v="2015-02-15T00:00:00"/>
    <d v="2015-02-01T00:00:00"/>
    <s v="Standard Class"/>
    <s v="NF-18385"/>
    <s v="Natalie Fritzler"/>
    <x v="0"/>
    <s v="United States"/>
    <s v="Chesapeake"/>
    <s v="Virginia"/>
    <n v="23320"/>
    <x v="0"/>
    <s v="TEC-AC-10001432"/>
    <x v="2"/>
    <x v="12"/>
    <s v="Enermax Aurora Lite Keyboard"/>
    <n v="23445"/>
  </r>
  <r>
    <s v="CA-2015-154893"/>
    <x v="1059"/>
    <d v="2015-12-27T00:00:00"/>
    <d v="2015-12-01T00:00:00"/>
    <s v="Standard Class"/>
    <s v="GM-14440"/>
    <s v="Gary McGarr"/>
    <x v="0"/>
    <s v="United States"/>
    <s v="San Diego"/>
    <s v="California"/>
    <n v="92024"/>
    <x v="1"/>
    <s v="FUR-CH-10004287"/>
    <x v="0"/>
    <x v="9"/>
    <s v="SAFCO Arco Folding Chair"/>
    <n v="132576"/>
  </r>
  <r>
    <s v="CA-2016-166604"/>
    <x v="1060"/>
    <d v="2016-05-20T00:00:00"/>
    <d v="2016-05-01T00:00:00"/>
    <s v="Second Class"/>
    <s v="AH-10690"/>
    <s v="Anna Häberlin"/>
    <x v="1"/>
    <s v="United States"/>
    <s v="Roswell"/>
    <s v="Georgia"/>
    <n v="30076"/>
    <x v="0"/>
    <s v="OFF-EN-10004147"/>
    <x v="1"/>
    <x v="11"/>
    <s v="Wausau Papers Astrobrights Colored Envelopes"/>
    <n v="1794"/>
  </r>
  <r>
    <s v="CA-2015-135993"/>
    <x v="1061"/>
    <d v="2015-06-02T00:00:00"/>
    <d v="2015-05-01T00:00:00"/>
    <s v="Standard Class"/>
    <s v="PJ-18835"/>
    <s v="Patrick Jones"/>
    <x v="1"/>
    <s v="United States"/>
    <s v="Seattle"/>
    <s v="Washington"/>
    <n v="98115"/>
    <x v="1"/>
    <s v="TEC-PH-10001552"/>
    <x v="2"/>
    <x v="10"/>
    <s v="I Need's 3d Hello Kitty Hybrid Silicone Case Cover for HTC One X 4g with 3d Hello Kitty Stylus Pen Green/pink"/>
    <n v="57408"/>
  </r>
  <r>
    <s v="CA-2017-143924"/>
    <x v="1062"/>
    <d v="2017-08-03T00:00:00"/>
    <d v="2017-07-01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44"/>
  </r>
  <r>
    <s v="CA-2015-164315"/>
    <x v="1063"/>
    <d v="2015-04-08T00:00:00"/>
    <d v="2015-04-01T00:00:00"/>
    <s v="Standard Class"/>
    <s v="RD-19585"/>
    <s v="Rob Dowd"/>
    <x v="0"/>
    <s v="United States"/>
    <s v="Athens"/>
    <s v="Georgia"/>
    <n v="30605"/>
    <x v="0"/>
    <s v="OFF-PA-10004248"/>
    <x v="1"/>
    <x v="4"/>
    <s v="Xerox 1990"/>
    <n v="1584"/>
  </r>
  <r>
    <s v="CA-2015-131541"/>
    <x v="1064"/>
    <d v="2015-07-28T00:00:00"/>
    <d v="2015-07-01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32"/>
  </r>
  <r>
    <s v="CA-2018-126550"/>
    <x v="1065"/>
    <d v="2018-04-02T00:00:00"/>
    <d v="2018-03-01T00:00:00"/>
    <s v="Second Class"/>
    <s v="RD-19720"/>
    <s v="Roger Demir"/>
    <x v="0"/>
    <s v="United States"/>
    <s v="Lafayette"/>
    <s v="Indiana"/>
    <n v="47905"/>
    <x v="2"/>
    <s v="OFF-ST-10001031"/>
    <x v="1"/>
    <x v="7"/>
    <s v="Adjustable Personal File Tote"/>
    <n v="814"/>
  </r>
  <r>
    <s v="CA-2017-118514"/>
    <x v="1066"/>
    <d v="2017-02-10T00:00:00"/>
    <d v="2017-02-01T00:00:00"/>
    <s v="Standard Class"/>
    <s v="LC-17050"/>
    <s v="Liz Carlisle"/>
    <x v="0"/>
    <s v="United States"/>
    <s v="Richmond"/>
    <s v="Kentucky"/>
    <n v="40475"/>
    <x v="0"/>
    <s v="FUR-CH-10000015"/>
    <x v="0"/>
    <x v="9"/>
    <s v="Hon Multipurpose Stacking Arm Chairs"/>
    <n v="8664"/>
  </r>
  <r>
    <s v="CA-2016-119634"/>
    <x v="1067"/>
    <d v="2016-08-16T00:00:00"/>
    <d v="2016-08-01T00:00:00"/>
    <s v="Standard Class"/>
    <s v="BW-11065"/>
    <s v="Barry Weirich"/>
    <x v="0"/>
    <s v="United States"/>
    <s v="Raleigh"/>
    <s v="North Carolina"/>
    <n v="27604"/>
    <x v="0"/>
    <s v="FUR-FU-10004270"/>
    <x v="0"/>
    <x v="3"/>
    <s v="Executive Impressions 13&quot; Clairmont Wall Clock"/>
    <n v="46152"/>
  </r>
  <r>
    <s v="US-2015-126340"/>
    <x v="1068"/>
    <d v="2015-11-14T00:00:00"/>
    <d v="2015-11-01T00:00:00"/>
    <s v="Standard Class"/>
    <s v="EB-13870"/>
    <s v="Emily Burns"/>
    <x v="0"/>
    <s v="United States"/>
    <s v="Redding"/>
    <s v="California"/>
    <n v="96003"/>
    <x v="1"/>
    <s v="TEC-PH-10004447"/>
    <x v="2"/>
    <x v="10"/>
    <s v="Toshiba IPT2010-SD IP Telephone"/>
    <n v="333576"/>
  </r>
  <r>
    <s v="CA-2016-154900"/>
    <x v="1069"/>
    <d v="2016-03-01T00:00:00"/>
    <d v="2016-02-01T00:00:00"/>
    <s v="Standard Class"/>
    <s v="SS-20875"/>
    <s v="Sung Shariari"/>
    <x v="0"/>
    <s v="United States"/>
    <s v="Leominster"/>
    <s v="Massachusetts"/>
    <n v="1453"/>
    <x v="3"/>
    <s v="OFF-LA-10001641"/>
    <x v="1"/>
    <x v="1"/>
    <s v="Avery 518"/>
    <n v="315"/>
  </r>
  <r>
    <s v="CA-2017-117408"/>
    <x v="1070"/>
    <d v="2017-09-06T00:00:00"/>
    <d v="2017-08-01T00:00:00"/>
    <s v="Standard Class"/>
    <s v="TP-21130"/>
    <s v="Theone Pippenger"/>
    <x v="0"/>
    <s v="United States"/>
    <s v="Waco"/>
    <s v="Texas"/>
    <n v="76706"/>
    <x v="2"/>
    <s v="OFF-ST-10001580"/>
    <x v="1"/>
    <x v="7"/>
    <s v="Super Decoflex Portable Personal File"/>
    <n v="23968"/>
  </r>
  <r>
    <s v="CA-2015-166716"/>
    <x v="1071"/>
    <d v="2015-08-25T00:00:00"/>
    <d v="2015-08-01T00:00:00"/>
    <s v="Second Class"/>
    <s v="CR-12730"/>
    <s v="Craig Reiter"/>
    <x v="0"/>
    <s v="United States"/>
    <s v="Chicago"/>
    <s v="Illinois"/>
    <n v="60610"/>
    <x v="2"/>
    <s v="FUR-CH-10004495"/>
    <x v="0"/>
    <x v="9"/>
    <s v="Global Leather and Oak Executive Chair, Black"/>
    <n v="421372"/>
  </r>
  <r>
    <s v="CA-2017-125017"/>
    <x v="1072"/>
    <d v="2017-02-11T00:00:00"/>
    <d v="2017-02-01T00:00:00"/>
    <s v="Standard Class"/>
    <s v="KB-16240"/>
    <s v="Karen Bern"/>
    <x v="1"/>
    <s v="United States"/>
    <s v="Chattanooga"/>
    <s v="Tennessee"/>
    <n v="37421"/>
    <x v="0"/>
    <s v="FUR-FU-10000723"/>
    <x v="0"/>
    <x v="3"/>
    <s v="Deflect-o EconoMat Studded, No Bevel Mat for Low Pile Carpeting"/>
    <n v="132224"/>
  </r>
  <r>
    <s v="CA-2015-115056"/>
    <x v="1073"/>
    <d v="2015-05-02T00:00:00"/>
    <d v="2015-05-01T00:00:00"/>
    <s v="Same Day"/>
    <s v="AR-10510"/>
    <s v="Andrew Roberts"/>
    <x v="0"/>
    <s v="United States"/>
    <s v="Columbus"/>
    <s v="Ohio"/>
    <n v="43229"/>
    <x v="3"/>
    <s v="OFF-AP-10003971"/>
    <x v="1"/>
    <x v="6"/>
    <s v="Belkin 6 Outlet Metallic Surge Strip"/>
    <n v="26136"/>
  </r>
  <r>
    <s v="CA-2016-111206"/>
    <x v="1074"/>
    <d v="2016-07-22T00:00:00"/>
    <d v="2016-07-01T00:00:00"/>
    <s v="Standard Class"/>
    <s v="RF-19735"/>
    <s v="Roland Fjeld"/>
    <x v="0"/>
    <s v="United States"/>
    <s v="San Diego"/>
    <s v="California"/>
    <n v="92105"/>
    <x v="1"/>
    <s v="TEC-AC-10003095"/>
    <x v="2"/>
    <x v="12"/>
    <s v="Logitech G35 7.1-Channel Surround Sound Headset"/>
    <n v="51996"/>
  </r>
  <r>
    <s v="CA-2016-132948"/>
    <x v="1075"/>
    <d v="2016-04-03T00:00:00"/>
    <d v="2016-03-01T00:00:00"/>
    <s v="Standard Class"/>
    <s v="MV-17485"/>
    <s v="Mark Van Huff"/>
    <x v="0"/>
    <s v="United States"/>
    <s v="Seattle"/>
    <s v="Washington"/>
    <n v="98115"/>
    <x v="1"/>
    <s v="OFF-ST-10000636"/>
    <x v="1"/>
    <x v="7"/>
    <s v="Rogers Profile Extra Capacity Storage Tub"/>
    <n v="837"/>
  </r>
  <r>
    <s v="US-2015-138835"/>
    <x v="1076"/>
    <d v="2015-09-14T00:00:00"/>
    <d v="2015-09-01T00:00:00"/>
    <s v="Standard Class"/>
    <s v="DA-13450"/>
    <s v="Dianna Arnett"/>
    <x v="2"/>
    <s v="United States"/>
    <s v="Virginia Beach"/>
    <s v="Virginia"/>
    <n v="23464"/>
    <x v="0"/>
    <s v="OFF-BI-10003314"/>
    <x v="1"/>
    <x v="5"/>
    <s v="Tuff Stuff Recycled Round Ring Binders"/>
    <n v="964"/>
  </r>
  <r>
    <s v="CA-2016-112214"/>
    <x v="1077"/>
    <d v="2016-08-11T00:00:00"/>
    <d v="2016-08-01T00:00:00"/>
    <s v="Standard Class"/>
    <s v="AH-10690"/>
    <s v="Anna Häberlin"/>
    <x v="1"/>
    <s v="United States"/>
    <s v="Dallas"/>
    <s v="Texas"/>
    <n v="75220"/>
    <x v="2"/>
    <s v="OFF-ST-10001505"/>
    <x v="1"/>
    <x v="7"/>
    <s v="Perma STOR-ALL Hanging File Box, 13 1/8&quot;W x 12 1/4&quot;D x 10 1/2&quot;H"/>
    <n v="33488"/>
  </r>
  <r>
    <s v="CA-2016-157434"/>
    <x v="1078"/>
    <d v="2016-05-04T00:00:00"/>
    <d v="2016-04-01T00:00:00"/>
    <s v="Second Class"/>
    <s v="JK-15640"/>
    <s v="Jim Kriz"/>
    <x v="2"/>
    <s v="United States"/>
    <s v="Philadelphia"/>
    <s v="Pennsylvania"/>
    <n v="19120"/>
    <x v="3"/>
    <s v="OFF-PA-10001526"/>
    <x v="1"/>
    <x v="4"/>
    <s v="Xerox 1949"/>
    <n v="7968"/>
  </r>
  <r>
    <s v="US-2015-109456"/>
    <x v="1079"/>
    <d v="2015-10-17T00:00:00"/>
    <d v="2015-10-01T00:00:00"/>
    <s v="Same Day"/>
    <s v="LS-17245"/>
    <s v="Lynn Smith"/>
    <x v="0"/>
    <s v="United States"/>
    <s v="San Francisco"/>
    <s v="California"/>
    <n v="94110"/>
    <x v="1"/>
    <s v="OFF-BI-10000136"/>
    <x v="1"/>
    <x v="5"/>
    <s v="Avery Non-Stick Heavy Duty View Round Locking Ring Binders"/>
    <n v="14352"/>
  </r>
  <r>
    <s v="CA-2017-163776"/>
    <x v="1080"/>
    <d v="2017-07-25T00:00:00"/>
    <d v="2017-07-01T00:00:00"/>
    <s v="Standard Class"/>
    <s v="JS-16030"/>
    <s v="Joy Smith"/>
    <x v="0"/>
    <s v="United States"/>
    <s v="Hattiesburg"/>
    <s v="Mississippi"/>
    <n v="39401"/>
    <x v="0"/>
    <s v="FUR-FU-10001185"/>
    <x v="0"/>
    <x v="3"/>
    <s v="Advantus Employee of the Month Certificate Frame, 11 x 13-1/2"/>
    <n v="18558"/>
  </r>
  <r>
    <s v="CA-2016-135580"/>
    <x v="1081"/>
    <d v="2017-01-03T00:00:00"/>
    <d v="2016-12-01T00:00:00"/>
    <s v="Standard Class"/>
    <s v="CL-12565"/>
    <s v="Clay Ludtke"/>
    <x v="0"/>
    <s v="United States"/>
    <s v="Los Angeles"/>
    <s v="California"/>
    <n v="90049"/>
    <x v="1"/>
    <s v="OFF-PA-10000595"/>
    <x v="1"/>
    <x v="4"/>
    <s v="Xerox 1929"/>
    <n v="6852"/>
  </r>
  <r>
    <s v="CA-2015-152422"/>
    <x v="1082"/>
    <d v="2015-10-10T00:00:00"/>
    <d v="2015-10-01T00:00:00"/>
    <s v="Second Class"/>
    <s v="BD-11635"/>
    <s v="Brian Derr"/>
    <x v="0"/>
    <s v="United States"/>
    <s v="Columbus"/>
    <s v="Ohio"/>
    <n v="43229"/>
    <x v="3"/>
    <s v="OFF-AP-10002892"/>
    <x v="1"/>
    <x v="6"/>
    <s v="Belkin F5C206VTEL 6 Outlet Surge"/>
    <n v="9192"/>
  </r>
  <r>
    <s v="US-2016-155369"/>
    <x v="1083"/>
    <d v="2016-04-25T00:00:00"/>
    <d v="2016-04-01T00:00:00"/>
    <s v="Standard Class"/>
    <s v="PG-18820"/>
    <s v="Patrick Gardner"/>
    <x v="0"/>
    <s v="United States"/>
    <s v="Carrollton"/>
    <s v="Texas"/>
    <n v="75007"/>
    <x v="2"/>
    <s v="OFF-AP-10002578"/>
    <x v="1"/>
    <x v="6"/>
    <s v="Fellowes Premier Superior Surge Suppressor, 10-Outlet, With Phone and Remote"/>
    <n v="19568"/>
  </r>
  <r>
    <s v="CA-2017-117912"/>
    <x v="1084"/>
    <d v="2017-02-08T00:00:00"/>
    <d v="2017-02-01T00:00:00"/>
    <s v="Standard Class"/>
    <s v="TB-21520"/>
    <s v="Tracy Blumstein"/>
    <x v="0"/>
    <s v="United States"/>
    <s v="Sierra Vista"/>
    <s v="Arizona"/>
    <n v="85635"/>
    <x v="1"/>
    <s v="FUR-FU-10002088"/>
    <x v="0"/>
    <x v="3"/>
    <s v="Nu-Dell Float Frame 11 x 14 1/2"/>
    <n v="14368"/>
  </r>
  <r>
    <s v="CA-2017-152765"/>
    <x v="1085"/>
    <d v="2017-06-18T00:00:00"/>
    <d v="2017-06-01T00:00:00"/>
    <s v="First Class"/>
    <s v="LS-17245"/>
    <s v="Lynn Smith"/>
    <x v="0"/>
    <s v="United States"/>
    <s v="Houston"/>
    <s v="Texas"/>
    <n v="77036"/>
    <x v="2"/>
    <s v="OFF-PA-10000483"/>
    <x v="1"/>
    <x v="4"/>
    <s v="Xerox 19"/>
    <n v="173488"/>
  </r>
  <r>
    <s v="CA-2015-107524"/>
    <x v="1086"/>
    <d v="2015-03-08T00:00:00"/>
    <d v="2015-03-01T00:00:00"/>
    <s v="Standard Class"/>
    <s v="KN-16705"/>
    <s v="Kristina Nunn"/>
    <x v="2"/>
    <s v="United States"/>
    <s v="New York City"/>
    <s v="New York"/>
    <n v="10009"/>
    <x v="3"/>
    <s v="OFF-EN-10001990"/>
    <x v="1"/>
    <x v="11"/>
    <s v="Staple envelope"/>
    <n v="1136"/>
  </r>
  <r>
    <s v="US-2015-165589"/>
    <x v="1087"/>
    <d v="2015-02-18T00:00:00"/>
    <d v="2015-02-01T00:00:00"/>
    <s v="Same Day"/>
    <s v="TB-21595"/>
    <s v="Troy Blackwell"/>
    <x v="0"/>
    <s v="United States"/>
    <s v="Lubbock"/>
    <s v="Texas"/>
    <n v="79424"/>
    <x v="2"/>
    <s v="FUR-FU-10002396"/>
    <x v="0"/>
    <x v="3"/>
    <s v="DAX Copper Panel Document Frame, 5 x 7 Size"/>
    <n v="2516"/>
  </r>
  <r>
    <s v="CA-2018-100111"/>
    <x v="1088"/>
    <d v="2018-09-26T00:00:00"/>
    <d v="2018-09-01T00:00:00"/>
    <s v="Standard Class"/>
    <s v="SV-20365"/>
    <s v="Seth Vernon"/>
    <x v="0"/>
    <s v="United States"/>
    <s v="New York City"/>
    <s v="New York"/>
    <n v="10035"/>
    <x v="3"/>
    <s v="FUR-CH-10003846"/>
    <x v="0"/>
    <x v="9"/>
    <s v="Hon Valutask Swivel Chairs"/>
    <n v="272646"/>
  </r>
  <r>
    <s v="US-2015-158400"/>
    <x v="1089"/>
    <d v="2015-10-28T00:00:00"/>
    <d v="2015-10-01T00:00:00"/>
    <s v="First Class"/>
    <s v="AH-10030"/>
    <s v="Aaron Hawkins"/>
    <x v="1"/>
    <s v="United States"/>
    <s v="San Francisco"/>
    <s v="California"/>
    <n v="94109"/>
    <x v="1"/>
    <s v="OFF-BI-10002353"/>
    <x v="1"/>
    <x v="5"/>
    <s v="GBC VeloBind Cover Sets"/>
    <n v="49408"/>
  </r>
  <r>
    <s v="CA-2016-105613"/>
    <x v="1090"/>
    <d v="2016-10-22T00:00:00"/>
    <d v="2016-10-01T00:00:00"/>
    <s v="Standard Class"/>
    <s v="KN-16705"/>
    <s v="Kristina Nunn"/>
    <x v="2"/>
    <s v="United States"/>
    <s v="Mcallen"/>
    <s v="Texas"/>
    <n v="78501"/>
    <x v="2"/>
    <s v="TEC-AC-10000521"/>
    <x v="2"/>
    <x v="12"/>
    <s v="Verbatim Slim CD and DVD Storage Cases, 50/Pack"/>
    <n v="27696"/>
  </r>
  <r>
    <s v="CA-2015-133543"/>
    <x v="1091"/>
    <d v="2015-12-26T00:00:00"/>
    <d v="2015-12-01T00:00:00"/>
    <s v="Standard Class"/>
    <s v="KM-16660"/>
    <s v="Khloe Miller"/>
    <x v="0"/>
    <s v="United States"/>
    <s v="San Jose"/>
    <s v="California"/>
    <n v="95123"/>
    <x v="1"/>
    <s v="OFF-AR-10003394"/>
    <x v="1"/>
    <x v="8"/>
    <s v="Newell 332"/>
    <n v="1176"/>
  </r>
  <r>
    <s v="CA-2017-104150"/>
    <x v="1092"/>
    <d v="2017-08-05T00:00:00"/>
    <d v="2017-08-01T00:00:00"/>
    <s v="Second Class"/>
    <s v="AG-10330"/>
    <s v="Alex Grayson"/>
    <x v="0"/>
    <s v="United States"/>
    <s v="Tulsa"/>
    <s v="Oklahoma"/>
    <n v="74133"/>
    <x v="2"/>
    <s v="OFF-EN-10002504"/>
    <x v="1"/>
    <x v="11"/>
    <s v="Tyvek  Top-Opening Peel &amp; Seel Envelopes, Plain White"/>
    <n v="8154"/>
  </r>
  <r>
    <s v="CA-2015-103989"/>
    <x v="1093"/>
    <d v="2015-03-21T00:00:00"/>
    <d v="2015-03-01T00:00:00"/>
    <s v="First Class"/>
    <s v="MC-17605"/>
    <s v="Matt Connell"/>
    <x v="1"/>
    <s v="United States"/>
    <s v="Lakeland"/>
    <s v="Florida"/>
    <n v="33801"/>
    <x v="0"/>
    <s v="TEC-PH-10004667"/>
    <x v="2"/>
    <x v="10"/>
    <s v="Cisco 8x8 Inc. 6753i IP Business Phone System"/>
    <n v="323976"/>
  </r>
  <r>
    <s v="US-2015-106299"/>
    <x v="1094"/>
    <d v="2015-08-08T00:00:00"/>
    <d v="2015-08-01T00:00:00"/>
    <s v="Standard Class"/>
    <s v="NZ-18565"/>
    <s v="Nick Zandusky"/>
    <x v="2"/>
    <s v="United States"/>
    <s v="Springfield"/>
    <s v="Missouri"/>
    <n v="65807"/>
    <x v="2"/>
    <s v="OFF-BI-10001758"/>
    <x v="1"/>
    <x v="5"/>
    <s v="Wilson Jones 14 Line Acrylic Coated Pressboard Data Binders"/>
    <n v="267"/>
  </r>
  <r>
    <s v="CA-2018-157903"/>
    <x v="1095"/>
    <d v="2018-04-08T00:00:00"/>
    <d v="2018-04-01T00:00:00"/>
    <s v="Standard Class"/>
    <s v="AM-10705"/>
    <s v="Anne McFarland"/>
    <x v="0"/>
    <s v="United States"/>
    <s v="Des Plaines"/>
    <s v="Illinois"/>
    <n v="60016"/>
    <x v="2"/>
    <s v="TEC-PH-10004345"/>
    <x v="2"/>
    <x v="10"/>
    <s v="Cisco SPA 502G IP Phone"/>
    <n v="38384"/>
  </r>
  <r>
    <s v="CA-2018-107986"/>
    <x v="1096"/>
    <d v="2018-12-13T00:00:00"/>
    <d v="2018-12-01T00:00:00"/>
    <s v="Same Day"/>
    <s v="MW-18220"/>
    <s v="Mitch Webber"/>
    <x v="0"/>
    <s v="United States"/>
    <s v="Seattle"/>
    <s v="Washington"/>
    <n v="98103"/>
    <x v="1"/>
    <s v="OFF-ST-10001325"/>
    <x v="1"/>
    <x v="7"/>
    <s v="Sterilite Officeware Hinged File Box"/>
    <n v="3144"/>
  </r>
  <r>
    <s v="US-2016-129553"/>
    <x v="1097"/>
    <d v="2016-08-02T00:00:00"/>
    <d v="2016-07-01T00:00:00"/>
    <s v="Standard Class"/>
    <s v="PG-18820"/>
    <s v="Patrick Gardner"/>
    <x v="0"/>
    <s v="United States"/>
    <s v="Louisville"/>
    <s v="Kentucky"/>
    <n v="40214"/>
    <x v="0"/>
    <s v="TEC-PH-10004897"/>
    <x v="2"/>
    <x v="10"/>
    <s v="Mediabridge Sport Armband iPhone 5s"/>
    <n v="2997"/>
  </r>
  <r>
    <s v="CA-2017-144400"/>
    <x v="1098"/>
    <d v="2017-02-27T00:00:00"/>
    <d v="2017-02-01T00:00:00"/>
    <s v="Standard Class"/>
    <s v="AC-10420"/>
    <s v="Alyssa Crouse"/>
    <x v="1"/>
    <s v="United States"/>
    <s v="Philadelphia"/>
    <s v="Pennsylvania"/>
    <n v="19120"/>
    <x v="3"/>
    <s v="OFF-EN-10004386"/>
    <x v="1"/>
    <x v="11"/>
    <s v="Recycled Interoffice Envelopes with String and Button Closure, 10 x 13"/>
    <n v="57576"/>
  </r>
  <r>
    <s v="US-2017-115952"/>
    <x v="1099"/>
    <d v="2017-10-06T00:00:00"/>
    <d v="2017-10-01T00:00:00"/>
    <s v="Same Day"/>
    <s v="JH-15910"/>
    <s v="Jonathan Howell"/>
    <x v="0"/>
    <s v="United States"/>
    <s v="Tulsa"/>
    <s v="Oklahoma"/>
    <n v="74133"/>
    <x v="2"/>
    <s v="OFF-BI-10004654"/>
    <x v="1"/>
    <x v="5"/>
    <s v="Avery Binding System Hidden Tab Executive Style Index Sets"/>
    <n v="2885"/>
  </r>
  <r>
    <s v="CA-2016-151253"/>
    <x v="1100"/>
    <d v="2016-04-26T00:00:00"/>
    <d v="2016-04-01T00:00:00"/>
    <s v="Standard Class"/>
    <s v="AZ-10750"/>
    <s v="Annie Zypern"/>
    <x v="0"/>
    <s v="United States"/>
    <s v="Los Angeles"/>
    <s v="California"/>
    <n v="90008"/>
    <x v="1"/>
    <s v="TEC-PH-10002923"/>
    <x v="2"/>
    <x v="10"/>
    <s v="Logitech B530 USB Headset - headset - Full size, Binaural"/>
    <n v="88776"/>
  </r>
  <r>
    <s v="CA-2015-141152"/>
    <x v="1101"/>
    <d v="2015-09-19T00:00:00"/>
    <d v="2015-09-01T00:00:00"/>
    <s v="First Class"/>
    <s v="RF-19345"/>
    <s v="Randy Ferguson"/>
    <x v="1"/>
    <s v="United States"/>
    <s v="New York City"/>
    <s v="New York"/>
    <n v="10024"/>
    <x v="3"/>
    <s v="OFF-BI-10002931"/>
    <x v="1"/>
    <x v="5"/>
    <s v="Avery Trapezoid Extra Heavy Duty 4&quot; Binders"/>
    <n v="33552"/>
  </r>
  <r>
    <s v="CA-2015-112837"/>
    <x v="1102"/>
    <d v="2015-09-16T00:00:00"/>
    <d v="2015-09-01T00:00:00"/>
    <s v="Standard Class"/>
    <s v="LW-17125"/>
    <s v="Liz Willingham"/>
    <x v="0"/>
    <s v="United States"/>
    <s v="Oxnard"/>
    <s v="California"/>
    <n v="93030"/>
    <x v="1"/>
    <s v="FUR-FU-10004006"/>
    <x v="0"/>
    <x v="3"/>
    <s v="Deflect-o DuraMat Lighweight, Studded, Beveled Mat for Low Pile Carpeting"/>
    <n v="12795"/>
  </r>
  <r>
    <s v="CA-2015-104402"/>
    <x v="1103"/>
    <d v="2015-06-23T00:00:00"/>
    <d v="2015-06-01T00:00:00"/>
    <s v="Standard Class"/>
    <s v="DB-13660"/>
    <s v="Duane Benoit"/>
    <x v="0"/>
    <s v="United States"/>
    <s v="Newark"/>
    <s v="Delaware"/>
    <n v="19711"/>
    <x v="3"/>
    <s v="TEC-MA-10000423"/>
    <x v="2"/>
    <x v="14"/>
    <s v="Texas Instruments TI-34 Scientific Calculator"/>
    <n v="6597"/>
  </r>
  <r>
    <s v="CA-2016-110289"/>
    <x v="1104"/>
    <d v="2016-11-02T00:00:00"/>
    <d v="2016-10-01T00:00:00"/>
    <s v="Standard Class"/>
    <s v="NB-18655"/>
    <s v="Nona Balk"/>
    <x v="1"/>
    <s v="United States"/>
    <s v="San Francisco"/>
    <s v="California"/>
    <n v="94109"/>
    <x v="1"/>
    <s v="OFF-PA-10002986"/>
    <x v="1"/>
    <x v="4"/>
    <s v="Xerox 1898"/>
    <n v="334"/>
  </r>
  <r>
    <s v="CA-2016-146255"/>
    <x v="1105"/>
    <d v="2016-03-10T00:00:00"/>
    <d v="2016-03-01T00:00:00"/>
    <s v="First Class"/>
    <s v="EM-14140"/>
    <s v="Eugene Moren"/>
    <x v="2"/>
    <s v="United States"/>
    <s v="Newark"/>
    <s v="Delaware"/>
    <n v="19711"/>
    <x v="3"/>
    <s v="TEC-AC-10004469"/>
    <x v="2"/>
    <x v="12"/>
    <s v="Microsoft Sculpt Comfort Mouse"/>
    <n v="11985"/>
  </r>
  <r>
    <s v="CA-2015-134103"/>
    <x v="1106"/>
    <d v="2015-02-04T00:00:00"/>
    <d v="2015-01-01T00:00:00"/>
    <s v="Standard Class"/>
    <s v="MV-18190"/>
    <s v="Mike Vittorini"/>
    <x v="0"/>
    <s v="United States"/>
    <s v="Detroit"/>
    <s v="Michigan"/>
    <n v="48234"/>
    <x v="2"/>
    <s v="OFF-PA-10001204"/>
    <x v="1"/>
    <x v="4"/>
    <s v="Xerox 1972"/>
    <n v="1056"/>
  </r>
  <r>
    <s v="CA-2016-147529"/>
    <x v="1107"/>
    <d v="2016-02-11T00:00:00"/>
    <d v="2016-02-01T00:00:00"/>
    <s v="Standard Class"/>
    <s v="DK-12835"/>
    <s v="Damala Kotsonis"/>
    <x v="1"/>
    <s v="United States"/>
    <s v="Springfield"/>
    <s v="Virginia"/>
    <n v="22153"/>
    <x v="0"/>
    <s v="OFF-EN-10000056"/>
    <x v="1"/>
    <x v="11"/>
    <s v="Cameo Buff Policy Envelopes"/>
    <n v="31115"/>
  </r>
  <r>
    <s v="CA-2018-131632"/>
    <x v="1108"/>
    <d v="2018-11-04T00:00:00"/>
    <d v="2018-10-01T00:00:00"/>
    <s v="Standard Class"/>
    <s v="AH-10120"/>
    <s v="Adrian Hane"/>
    <x v="2"/>
    <s v="United States"/>
    <s v="Dallas"/>
    <s v="Texas"/>
    <n v="75217"/>
    <x v="2"/>
    <s v="OFF-AR-10003651"/>
    <x v="1"/>
    <x v="8"/>
    <s v="Newell 350"/>
    <n v="5248"/>
  </r>
  <r>
    <s v="CA-2018-125472"/>
    <x v="1109"/>
    <d v="2018-05-31T00:00:00"/>
    <d v="2018-05-0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96"/>
  </r>
  <r>
    <s v="CA-2016-121405"/>
    <x v="1110"/>
    <d v="2016-04-04T00:00:00"/>
    <d v="2016-03-01T00:00:00"/>
    <s v="Standard Class"/>
    <s v="FC-14335"/>
    <s v="Fred Chung"/>
    <x v="1"/>
    <s v="United States"/>
    <s v="Chicago"/>
    <s v="Illinois"/>
    <n v="60610"/>
    <x v="2"/>
    <s v="OFF-PA-10001838"/>
    <x v="1"/>
    <x v="4"/>
    <s v="Adams Telephone Message Book W/Dividers/Space For Phone Numbers, 5 1/4&quot;X8 1/2&quot;, 300/Messages"/>
    <n v="2352"/>
  </r>
  <r>
    <s v="CA-2016-108532"/>
    <x v="1111"/>
    <d v="2016-09-02T00:00:00"/>
    <d v="2016-08-01T00:00:00"/>
    <s v="Standard Class"/>
    <s v="CC-12100"/>
    <s v="Chad Cunningham"/>
    <x v="2"/>
    <s v="United States"/>
    <s v="Detroit"/>
    <s v="Michigan"/>
    <n v="48234"/>
    <x v="2"/>
    <s v="TEC-PH-10001750"/>
    <x v="2"/>
    <x v="10"/>
    <s v="Samsung Rugby III"/>
    <n v="13198"/>
  </r>
  <r>
    <s v="CA-2015-149524"/>
    <x v="1112"/>
    <d v="2015-01-15T00:00:00"/>
    <d v="2015-01-01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96"/>
  </r>
  <r>
    <s v="CA-2016-120621"/>
    <x v="1113"/>
    <d v="2016-03-26T00:00:00"/>
    <d v="2016-03-01T00:00:00"/>
    <s v="Standard Class"/>
    <s v="JW-16075"/>
    <s v="Julia West"/>
    <x v="0"/>
    <s v="United States"/>
    <s v="Jacksonville"/>
    <s v="North Carolina"/>
    <n v="28540"/>
    <x v="0"/>
    <s v="OFF-AP-10002945"/>
    <x v="1"/>
    <x v="6"/>
    <s v="Honeywell Enviracaire Portable HEPA Air Cleaner for 17' x 22' Room"/>
    <n v="96208"/>
  </r>
  <r>
    <s v="CA-2015-149594"/>
    <x v="1114"/>
    <d v="2015-09-19T00:00:00"/>
    <d v="2015-09-01T00:00:00"/>
    <s v="Standard Class"/>
    <s v="MF-18250"/>
    <s v="Monica Federle"/>
    <x v="1"/>
    <s v="United States"/>
    <s v="Philadelphia"/>
    <s v="Pennsylvania"/>
    <n v="19120"/>
    <x v="3"/>
    <s v="FUR-FU-10000222"/>
    <x v="0"/>
    <x v="3"/>
    <s v="Seth Thomas 16&quot; Steel Case Clock"/>
    <n v="103936"/>
  </r>
  <r>
    <s v="CA-2016-103135"/>
    <x v="1115"/>
    <d v="2016-07-28T00:00:00"/>
    <d v="2016-07-01T00:00:00"/>
    <s v="Standard Class"/>
    <s v="SS-20515"/>
    <s v="Shirley Schmidt"/>
    <x v="2"/>
    <s v="United States"/>
    <s v="Louisville"/>
    <s v="Kentucky"/>
    <n v="40214"/>
    <x v="0"/>
    <s v="FUR-FU-10001487"/>
    <x v="0"/>
    <x v="3"/>
    <s v="Eldon Expressions Wood and Plastic Desk Accessories, Cherry Wood"/>
    <n v="2094"/>
  </r>
  <r>
    <s v="CA-2015-103744"/>
    <x v="1116"/>
    <d v="2015-02-27T00:00:00"/>
    <d v="2015-02-01T00:00:00"/>
    <s v="Standard Class"/>
    <s v="MG-17875"/>
    <s v="Michael Grace"/>
    <x v="2"/>
    <s v="United States"/>
    <s v="El Paso"/>
    <s v="Texas"/>
    <n v="79907"/>
    <x v="2"/>
    <s v="OFF-LA-10004425"/>
    <x v="1"/>
    <x v="1"/>
    <s v="Staple-on labels"/>
    <n v="6936"/>
  </r>
  <r>
    <s v="CA-2016-166947"/>
    <x v="1117"/>
    <d v="2016-06-10T00:00:00"/>
    <d v="2016-06-01T00:00:00"/>
    <s v="Standard Class"/>
    <s v="EB-13750"/>
    <s v="Edward Becker"/>
    <x v="1"/>
    <s v="United States"/>
    <s v="Buffalo"/>
    <s v="New York"/>
    <n v="14215"/>
    <x v="3"/>
    <s v="FUR-CH-10004997"/>
    <x v="0"/>
    <x v="9"/>
    <s v="Hon Every-Day Series Multi-Task Chairs"/>
    <n v="1522638"/>
  </r>
  <r>
    <s v="CA-2015-166086"/>
    <x v="1118"/>
    <d v="2015-05-12T00:00:00"/>
    <d v="2015-05-01T00:00:00"/>
    <s v="Standard Class"/>
    <s v="CT-11995"/>
    <s v="Carol Triggs"/>
    <x v="0"/>
    <s v="United States"/>
    <s v="Lawrence"/>
    <s v="Massachusetts"/>
    <n v="1841"/>
    <x v="3"/>
    <s v="OFF-BI-10001078"/>
    <x v="1"/>
    <x v="5"/>
    <s v="Acco PRESSTEX Data Binder with Storage Hooks, Dark Blue, 14 7/8&quot; X 11&quot;"/>
    <n v="1614"/>
  </r>
  <r>
    <s v="CA-2018-131282"/>
    <x v="1119"/>
    <d v="2018-02-08T00:00:00"/>
    <d v="2018-02-01T00:00:00"/>
    <s v="Second Class"/>
    <s v="CB-12025"/>
    <s v="Cassandra Brandow"/>
    <x v="0"/>
    <s v="United States"/>
    <s v="Waco"/>
    <s v="Texas"/>
    <n v="76706"/>
    <x v="2"/>
    <s v="OFF-BI-10004632"/>
    <x v="1"/>
    <x v="5"/>
    <s v="Ibico Hi-Tech Manual Binding System"/>
    <n v="243992"/>
  </r>
  <r>
    <s v="CA-2017-161543"/>
    <x v="1120"/>
    <d v="2017-05-16T00:00:00"/>
    <d v="2017-05-01T00:00:00"/>
    <s v="Standard Class"/>
    <s v="RD-19720"/>
    <s v="Roger Demir"/>
    <x v="0"/>
    <s v="United States"/>
    <s v="Seattle"/>
    <s v="Washington"/>
    <n v="98105"/>
    <x v="1"/>
    <s v="OFF-PA-10003971"/>
    <x v="1"/>
    <x v="4"/>
    <s v="Xerox 1965"/>
    <n v="1196"/>
  </r>
  <r>
    <s v="CA-2017-148516"/>
    <x v="1121"/>
    <d v="2017-08-11T00:00:00"/>
    <d v="2017-08-01T00:00:00"/>
    <s v="Standard Class"/>
    <s v="DW-13585"/>
    <s v="Dorothy Wardle"/>
    <x v="1"/>
    <s v="United States"/>
    <s v="Edmonds"/>
    <s v="Washington"/>
    <n v="98026"/>
    <x v="1"/>
    <s v="TEC-AC-10003610"/>
    <x v="2"/>
    <x v="12"/>
    <s v="Logitech Illuminated - Keyboard"/>
    <n v="17997"/>
  </r>
  <r>
    <s v="CA-2016-107678"/>
    <x v="1122"/>
    <d v="2016-04-28T00:00:00"/>
    <d v="2016-04-01T00:00:00"/>
    <s v="Standard Class"/>
    <s v="JK-16090"/>
    <s v="Juliana Krohn"/>
    <x v="0"/>
    <s v="United States"/>
    <s v="Louisville"/>
    <s v="Kentucky"/>
    <n v="40214"/>
    <x v="0"/>
    <s v="FUR-CH-10001891"/>
    <x v="0"/>
    <x v="9"/>
    <s v="Global Deluxe Office Fabric Chairs"/>
    <n v="19196"/>
  </r>
  <r>
    <s v="US-2018-167402"/>
    <x v="1123"/>
    <d v="2018-01-18T00:00:00"/>
    <d v="2018-01-01T00:00:00"/>
    <s v="Second Class"/>
    <s v="CP-12085"/>
    <s v="Cathy Prescott"/>
    <x v="1"/>
    <s v="United States"/>
    <s v="Springfield"/>
    <s v="Missouri"/>
    <n v="65807"/>
    <x v="2"/>
    <s v="OFF-PA-10004983"/>
    <x v="1"/>
    <x v="4"/>
    <s v="Xerox 23"/>
    <n v="324"/>
  </r>
  <r>
    <s v="CA-2015-130449"/>
    <x v="1124"/>
    <d v="2015-09-09T00:00:00"/>
    <d v="2015-09-01T00:00:00"/>
    <s v="First Class"/>
    <s v="VP-21760"/>
    <s v="Victoria Pisteka"/>
    <x v="1"/>
    <s v="United States"/>
    <s v="San Francisco"/>
    <s v="California"/>
    <n v="94109"/>
    <x v="1"/>
    <s v="FUR-FU-10001487"/>
    <x v="0"/>
    <x v="3"/>
    <s v="Eldon Expressions Wood and Plastic Desk Accessories, Cherry Wood"/>
    <n v="4188"/>
  </r>
  <r>
    <s v="CA-2016-141250"/>
    <x v="1125"/>
    <d v="2016-01-23T00:00:00"/>
    <d v="2016-01-01T00:00:00"/>
    <s v="Standard Class"/>
    <s v="PM-18940"/>
    <s v="Paul MacIntyre"/>
    <x v="0"/>
    <s v="United States"/>
    <s v="Texas City"/>
    <s v="Texas"/>
    <n v="77590"/>
    <x v="2"/>
    <s v="FUR-TA-10002855"/>
    <x v="0"/>
    <x v="2"/>
    <s v="Bevis Round Conference Table Top &amp; Single Column Base"/>
    <n v="102438"/>
  </r>
  <r>
    <s v="CA-2018-161088"/>
    <x v="1126"/>
    <d v="2018-05-29T00:00:00"/>
    <d v="2018-05-01T00:00:00"/>
    <s v="Standard Class"/>
    <s v="MH-18115"/>
    <s v="Mick Hernandez"/>
    <x v="2"/>
    <s v="United States"/>
    <s v="Columbus"/>
    <s v="Georgia"/>
    <n v="31907"/>
    <x v="0"/>
    <s v="OFF-BI-10002824"/>
    <x v="1"/>
    <x v="5"/>
    <s v="Recycled Easel Ring Binders"/>
    <n v="2984"/>
  </r>
  <r>
    <s v="CA-2015-109134"/>
    <x v="1127"/>
    <d v="2015-11-10T00:00:00"/>
    <d v="2015-11-01T00:00:00"/>
    <s v="Standard Class"/>
    <s v="DE-13255"/>
    <s v="Deanra Eno"/>
    <x v="2"/>
    <s v="United States"/>
    <s v="Los Angeles"/>
    <s v="California"/>
    <n v="90008"/>
    <x v="1"/>
    <s v="FUR-FU-10000320"/>
    <x v="0"/>
    <x v="3"/>
    <s v="OIC Stacking Trays"/>
    <n v="2004"/>
  </r>
  <r>
    <s v="CA-2016-153535"/>
    <x v="1128"/>
    <d v="2016-05-24T00:00:00"/>
    <d v="2016-05-01T00:00:00"/>
    <s v="Standard Class"/>
    <s v="SG-20470"/>
    <s v="Sheri Gordon"/>
    <x v="0"/>
    <s v="United States"/>
    <s v="Wilson"/>
    <s v="North Carolina"/>
    <n v="27893"/>
    <x v="0"/>
    <s v="FUR-FU-10001986"/>
    <x v="0"/>
    <x v="3"/>
    <s v="Dana Fluorescent Magnifying Lamp, White, 36&quot;"/>
    <n v="163136"/>
  </r>
  <r>
    <s v="CA-2015-120096"/>
    <x v="1129"/>
    <d v="2015-07-07T00:00:00"/>
    <d v="2015-07-01T00:00:00"/>
    <s v="First Class"/>
    <s v="KE-16420"/>
    <s v="Katrina Edelman"/>
    <x v="1"/>
    <s v="United States"/>
    <s v="Aurora"/>
    <s v="Colorado"/>
    <n v="80013"/>
    <x v="1"/>
    <s v="OFF-PA-10001977"/>
    <x v="1"/>
    <x v="4"/>
    <s v="Xerox 194"/>
    <n v="177536"/>
  </r>
  <r>
    <s v="CA-2016-156923"/>
    <x v="1130"/>
    <d v="2016-02-20T00:00:00"/>
    <d v="2016-02-01T00:00:00"/>
    <s v="Standard Class"/>
    <s v="SP-20860"/>
    <s v="Sung Pak"/>
    <x v="1"/>
    <s v="United States"/>
    <s v="Dover"/>
    <s v="New Hampshire"/>
    <n v="3820"/>
    <x v="3"/>
    <s v="OFF-PA-10002751"/>
    <x v="1"/>
    <x v="4"/>
    <s v="Xerox 1920"/>
    <n v="3588"/>
  </r>
  <r>
    <s v="CA-2017-162943"/>
    <x v="1131"/>
    <d v="2017-07-26T00:00:00"/>
    <d v="2017-07-01T00:00:00"/>
    <s v="Second Class"/>
    <s v="DB-12970"/>
    <s v="Darren Budd"/>
    <x v="1"/>
    <s v="United States"/>
    <s v="New York City"/>
    <s v="New York"/>
    <n v="10035"/>
    <x v="3"/>
    <s v="FUR-CH-10001708"/>
    <x v="0"/>
    <x v="9"/>
    <s v="Office Star - Contemporary Swivel Chair with Padded Adjustable Arms and Flex Back"/>
    <n v="253764"/>
  </r>
  <r>
    <s v="CA-2015-109302"/>
    <x v="1132"/>
    <d v="2015-08-16T00:00:00"/>
    <d v="2015-08-01T00:00:00"/>
    <s v="Standard Class"/>
    <s v="CS-12175"/>
    <s v="Charles Sheldon"/>
    <x v="1"/>
    <s v="United States"/>
    <s v="Lakewood"/>
    <s v="New Jersey"/>
    <n v="8701"/>
    <x v="3"/>
    <s v="OFF-BI-10002854"/>
    <x v="1"/>
    <x v="5"/>
    <s v="Performers Binder/Pad Holder, Black"/>
    <n v="19621"/>
  </r>
  <r>
    <s v="US-2017-163461"/>
    <x v="1133"/>
    <d v="2017-06-21T00:00:00"/>
    <d v="2017-06-01T00:00:00"/>
    <s v="First Class"/>
    <s v="BT-11440"/>
    <s v="Bobby Trafton"/>
    <x v="0"/>
    <s v="United States"/>
    <s v="Frankfort"/>
    <s v="Illinois"/>
    <n v="60423"/>
    <x v="2"/>
    <s v="OFF-PA-10003134"/>
    <x v="1"/>
    <x v="4"/>
    <s v="Xerox 1937"/>
    <n v="76864"/>
  </r>
  <r>
    <s v="US-2017-100461"/>
    <x v="1134"/>
    <d v="2017-01-12T00:00:00"/>
    <d v="2017-01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88"/>
  </r>
  <r>
    <s v="CA-2016-162544"/>
    <x v="1135"/>
    <d v="2016-12-19T00:00:00"/>
    <d v="2016-12-01T00:00:00"/>
    <s v="First Class"/>
    <s v="SG-20080"/>
    <s v="Sandra Glassco"/>
    <x v="0"/>
    <s v="United States"/>
    <s v="Seattle"/>
    <s v="Washington"/>
    <n v="98105"/>
    <x v="1"/>
    <s v="OFF-PA-10004948"/>
    <x v="1"/>
    <x v="4"/>
    <s v="Xerox 190"/>
    <n v="498"/>
  </r>
  <r>
    <s v="CA-2015-124394"/>
    <x v="1136"/>
    <d v="2015-10-22T00:00:00"/>
    <d v="2015-10-01T00:00:00"/>
    <s v="Second Class"/>
    <s v="TB-21520"/>
    <s v="Tracy Blumstein"/>
    <x v="0"/>
    <s v="United States"/>
    <s v="Beaumont"/>
    <s v="Texas"/>
    <n v="77705"/>
    <x v="2"/>
    <s v="OFF-BI-10003676"/>
    <x v="1"/>
    <x v="5"/>
    <s v="GBC Standard Recycled Report Covers, Clear Plastic Sheets"/>
    <n v="1078"/>
  </r>
  <r>
    <s v="US-2016-165512"/>
    <x v="1137"/>
    <d v="2016-05-26T00:00:00"/>
    <d v="2016-05-01T00:00:00"/>
    <s v="Second Class"/>
    <s v="VS-21820"/>
    <s v="Vivek Sundaresam"/>
    <x v="0"/>
    <s v="United States"/>
    <s v="Naperville"/>
    <s v="Illinois"/>
    <n v="60540"/>
    <x v="2"/>
    <s v="FUR-CH-10002880"/>
    <x v="0"/>
    <x v="9"/>
    <s v="Global High-Back Leather Tilter, Burgundy"/>
    <n v="602651"/>
  </r>
  <r>
    <s v="US-2018-135013"/>
    <x v="1138"/>
    <d v="2018-07-24T00:00:00"/>
    <d v="2018-07-01T00:00:00"/>
    <s v="Same Day"/>
    <s v="HR-14830"/>
    <s v="Harold Ryan"/>
    <x v="1"/>
    <s v="United States"/>
    <s v="Huntington Beach"/>
    <s v="California"/>
    <n v="92646"/>
    <x v="1"/>
    <s v="TEC-CO-10001449"/>
    <x v="2"/>
    <x v="15"/>
    <s v="Hewlett Packard LaserJet 3310 Copier"/>
    <n v="239996"/>
  </r>
  <r>
    <s v="US-2018-149006"/>
    <x v="1139"/>
    <d v="2018-12-08T00:00:00"/>
    <d v="2018-12-01T00:00:00"/>
    <s v="Second Class"/>
    <s v="BN-11470"/>
    <s v="Brad Norvell"/>
    <x v="1"/>
    <s v="United States"/>
    <s v="Brentwood"/>
    <s v="California"/>
    <n v="94513"/>
    <x v="1"/>
    <s v="OFF-ST-10003221"/>
    <x v="1"/>
    <x v="7"/>
    <s v="Staple magnet"/>
    <n v="1068"/>
  </r>
  <r>
    <s v="CA-2016-110765"/>
    <x v="1140"/>
    <d v="2016-10-20T00:00:00"/>
    <d v="2016-10-01T00:00:00"/>
    <s v="Second Class"/>
    <s v="MP-17965"/>
    <s v="Michael Paige"/>
    <x v="1"/>
    <s v="United States"/>
    <s v="New York City"/>
    <s v="New York"/>
    <n v="10011"/>
    <x v="3"/>
    <s v="TEC-PH-10004165"/>
    <x v="2"/>
    <x v="10"/>
    <s v="Mitel MiVoice 5330e IP Phone"/>
    <n v="82497"/>
  </r>
  <r>
    <s v="CA-2016-112144"/>
    <x v="1141"/>
    <d v="2016-07-02T00:00:00"/>
    <d v="2016-06-01T00:00:00"/>
    <s v="Standard Class"/>
    <s v="CY-12745"/>
    <s v="Craig Yedwab"/>
    <x v="1"/>
    <s v="United States"/>
    <s v="Gilbert"/>
    <s v="Arizona"/>
    <n v="85234"/>
    <x v="1"/>
    <s v="OFF-LA-10000443"/>
    <x v="1"/>
    <x v="1"/>
    <s v="Avery 501"/>
    <n v="5904"/>
  </r>
  <r>
    <s v="US-2017-134369"/>
    <x v="1142"/>
    <d v="2017-09-22T00:00:00"/>
    <d v="2017-09-01T00:00:00"/>
    <s v="Standard Class"/>
    <s v="BC-11125"/>
    <s v="Becky Castell"/>
    <x v="2"/>
    <s v="United States"/>
    <s v="Laguna Niguel"/>
    <s v="California"/>
    <n v="92677"/>
    <x v="1"/>
    <s v="OFF-PA-10002195"/>
    <x v="1"/>
    <x v="4"/>
    <s v="Xerox 1966"/>
    <n v="1296"/>
  </r>
  <r>
    <s v="CA-2018-123687"/>
    <x v="1143"/>
    <d v="2018-05-29T00:00:00"/>
    <d v="2018-05-01T00:00:00"/>
    <s v="First Class"/>
    <s v="KC-16675"/>
    <s v="Kimberly Carter"/>
    <x v="1"/>
    <s v="United States"/>
    <s v="Louisville"/>
    <s v="Kentucky"/>
    <n v="40214"/>
    <x v="0"/>
    <s v="OFF-AP-10002670"/>
    <x v="1"/>
    <x v="6"/>
    <s v="Belkin 8-Outlet Premiere SurgeMaster II Surge Protectors"/>
    <n v="20844"/>
  </r>
  <r>
    <s v="CA-2018-169474"/>
    <x v="1144"/>
    <d v="2018-02-09T00:00:00"/>
    <d v="2018-02-01T00:00:00"/>
    <s v="Standard Class"/>
    <s v="JF-15355"/>
    <s v="Jay Fein"/>
    <x v="0"/>
    <s v="United States"/>
    <s v="Rochester"/>
    <s v="New York"/>
    <n v="14609"/>
    <x v="3"/>
    <s v="OFF-AP-10003971"/>
    <x v="1"/>
    <x v="6"/>
    <s v="Belkin 6 Outlet Metallic Surge Strip"/>
    <n v="3267"/>
  </r>
  <r>
    <s v="CA-2016-119480"/>
    <x v="1145"/>
    <d v="2016-01-13T00:00:00"/>
    <d v="2016-01-01T00:00:00"/>
    <s v="Standard Class"/>
    <s v="CC-12685"/>
    <s v="Craig Carroll"/>
    <x v="0"/>
    <s v="United States"/>
    <s v="Henderson"/>
    <s v="Kentucky"/>
    <n v="42420"/>
    <x v="0"/>
    <s v="OFF-PA-10000474"/>
    <x v="1"/>
    <x v="4"/>
    <s v="Easy-staple paper"/>
    <n v="10632"/>
  </r>
  <r>
    <s v="CA-2017-101980"/>
    <x v="1146"/>
    <d v="2017-08-20T00:00:00"/>
    <d v="2017-08-01T00:00:00"/>
    <s v="First Class"/>
    <s v="RP-19390"/>
    <s v="Resi Pölking"/>
    <x v="0"/>
    <s v="United States"/>
    <s v="New York City"/>
    <s v="New York"/>
    <n v="10009"/>
    <x v="3"/>
    <s v="OFF-BI-10000666"/>
    <x v="1"/>
    <x v="5"/>
    <s v="Surelock Post Binders"/>
    <n v="146688"/>
  </r>
  <r>
    <s v="CA-2017-144337"/>
    <x v="1147"/>
    <d v="2017-08-05T00:00:00"/>
    <d v="2017-08-01T00:00:00"/>
    <s v="Second Class"/>
    <s v="SG-20890"/>
    <s v="Susan Gilcrest"/>
    <x v="1"/>
    <s v="United States"/>
    <s v="Amarillo"/>
    <s v="Texas"/>
    <n v="79109"/>
    <x v="2"/>
    <s v="OFF-PA-10000249"/>
    <x v="1"/>
    <x v="4"/>
    <s v="Easy-staple paper"/>
    <n v="19648"/>
  </r>
  <r>
    <s v="CA-2015-137911"/>
    <x v="1148"/>
    <d v="2015-10-15T00:00:00"/>
    <d v="2015-10-01T00:00:00"/>
    <s v="Standard Class"/>
    <s v="BP-11095"/>
    <s v="Bart Pistole"/>
    <x v="1"/>
    <s v="United States"/>
    <s v="Jacksonville"/>
    <s v="North Carolina"/>
    <n v="28540"/>
    <x v="0"/>
    <s v="OFF-PA-10004071"/>
    <x v="1"/>
    <x v="4"/>
    <s v="Eaton Premium Continuous-Feed Paper, 25% Cotton, Letter Size, White, 1000 Shts/Box"/>
    <n v="88768"/>
  </r>
  <r>
    <s v="CA-2016-145835"/>
    <x v="1149"/>
    <d v="2016-05-18T00:00:00"/>
    <d v="2016-05-01T00:00:00"/>
    <s v="Second Class"/>
    <s v="BF-11170"/>
    <s v="Ben Ferrer"/>
    <x v="2"/>
    <s v="United States"/>
    <s v="Chicago"/>
    <s v="Illinois"/>
    <n v="60623"/>
    <x v="2"/>
    <s v="TEC-PH-10004447"/>
    <x v="2"/>
    <x v="10"/>
    <s v="Toshiba IPT2010-SD IP Telephone"/>
    <n v="222384"/>
  </r>
  <r>
    <s v="CA-2015-122070"/>
    <x v="1150"/>
    <d v="2015-04-24T00:00:00"/>
    <d v="2015-04-01T00:00:00"/>
    <s v="Second Class"/>
    <s v="AH-10030"/>
    <s v="Aaron Hawkins"/>
    <x v="1"/>
    <s v="United States"/>
    <s v="Troy"/>
    <s v="New York"/>
    <n v="12180"/>
    <x v="3"/>
    <s v="OFF-EN-10004773"/>
    <x v="1"/>
    <x v="11"/>
    <s v="Staple envelope"/>
    <n v="24784"/>
  </r>
  <r>
    <s v="CA-2017-110492"/>
    <x v="1151"/>
    <d v="2017-02-14T00:00:00"/>
    <d v="2017-02-01T00:00:00"/>
    <s v="First Class"/>
    <s v="JS-15880"/>
    <s v="John Stevenson"/>
    <x v="0"/>
    <s v="United States"/>
    <s v="Atlanta"/>
    <s v="Georgia"/>
    <n v="30318"/>
    <x v="0"/>
    <s v="OFF-ST-10003716"/>
    <x v="1"/>
    <x v="7"/>
    <s v="Tennsco Double-Tier Lockers"/>
    <n v="135012"/>
  </r>
  <r>
    <s v="CA-2018-154760"/>
    <x v="1152"/>
    <d v="2018-01-13T00:00:00"/>
    <d v="2018-01-01T00:00:00"/>
    <s v="Standard Class"/>
    <s v="BP-11290"/>
    <s v="Beth Paige"/>
    <x v="0"/>
    <s v="United States"/>
    <s v="Philadelphia"/>
    <s v="Pennsylvania"/>
    <n v="19140"/>
    <x v="3"/>
    <s v="OFF-BI-10004632"/>
    <x v="1"/>
    <x v="5"/>
    <s v="Ibico Hi-Tech Manual Binding System"/>
    <n v="274491"/>
  </r>
  <r>
    <s v="CA-2018-122987"/>
    <x v="1153"/>
    <d v="2018-08-16T00:00:00"/>
    <d v="2018-08-01T00:00:00"/>
    <s v="Same Day"/>
    <s v="SJ-20215"/>
    <s v="Sarah Jordon"/>
    <x v="0"/>
    <s v="United States"/>
    <s v="Columbia"/>
    <s v="Tennessee"/>
    <n v="38401"/>
    <x v="0"/>
    <s v="OFF-BI-10002824"/>
    <x v="1"/>
    <x v="5"/>
    <s v="Recycled Easel Ring Binders"/>
    <n v="13428"/>
  </r>
  <r>
    <s v="CA-2017-133368"/>
    <x v="1154"/>
    <d v="2017-01-20T00:00:00"/>
    <d v="2017-01-01T00:00:00"/>
    <s v="Standard Class"/>
    <s v="AG-10675"/>
    <s v="Anna Gayman"/>
    <x v="0"/>
    <s v="United States"/>
    <s v="Concord"/>
    <s v="North Carolina"/>
    <n v="28027"/>
    <x v="0"/>
    <s v="OFF-PA-10004039"/>
    <x v="1"/>
    <x v="4"/>
    <s v="Xerox 1882"/>
    <n v="89568"/>
  </r>
  <r>
    <s v="US-2017-150357"/>
    <x v="1155"/>
    <d v="2017-10-14T00:00:00"/>
    <d v="2017-10-01T00:00:00"/>
    <s v="Standard Class"/>
    <s v="EB-13975"/>
    <s v="Erica Bern"/>
    <x v="1"/>
    <s v="United States"/>
    <s v="Greensboro"/>
    <s v="North Carolina"/>
    <n v="27405"/>
    <x v="0"/>
    <s v="OFF-SU-10004498"/>
    <x v="1"/>
    <x v="16"/>
    <s v="Martin-Yale Premier Letter Opener"/>
    <n v="20608"/>
  </r>
  <r>
    <s v="CA-2017-113656"/>
    <x v="1156"/>
    <d v="2017-01-29T00:00:00"/>
    <d v="2017-01-01T00:00:00"/>
    <s v="Standard Class"/>
    <s v="CB-12415"/>
    <s v="Christy Brittain"/>
    <x v="0"/>
    <s v="United States"/>
    <s v="Los Angeles"/>
    <s v="California"/>
    <n v="90036"/>
    <x v="1"/>
    <s v="FUR-FU-10000719"/>
    <x v="0"/>
    <x v="3"/>
    <s v="DAX Cubicle Frames, 8-1/2 x 11"/>
    <n v="5999"/>
  </r>
  <r>
    <s v="CA-2016-101126"/>
    <x v="1157"/>
    <d v="2016-02-14T00:00:00"/>
    <d v="2016-02-01T00:00:00"/>
    <s v="Second Class"/>
    <s v="NB-18655"/>
    <s v="Nona Balk"/>
    <x v="1"/>
    <s v="United States"/>
    <s v="Philadelphia"/>
    <s v="Pennsylvania"/>
    <n v="19143"/>
    <x v="3"/>
    <s v="OFF-ST-10000943"/>
    <x v="1"/>
    <x v="7"/>
    <s v="Eldon ProFile File 'N Store Portable File Tub Letter/Legal Size Black"/>
    <n v="7724"/>
  </r>
  <r>
    <s v="CA-2015-137274"/>
    <x v="1158"/>
    <d v="2015-04-02T00:00:00"/>
    <d v="2015-03-01T00:00:00"/>
    <s v="Standard Class"/>
    <s v="MG-18145"/>
    <s v="Mike Gockenbach"/>
    <x v="0"/>
    <s v="United States"/>
    <s v="Plano"/>
    <s v="Texas"/>
    <n v="75023"/>
    <x v="2"/>
    <s v="FUR-TA-10001889"/>
    <x v="0"/>
    <x v="2"/>
    <s v="Bush Advantage Collection Racetrack Conference Table"/>
    <n v="890841"/>
  </r>
  <r>
    <s v="CA-2017-132066"/>
    <x v="1159"/>
    <d v="2017-10-20T00:00:00"/>
    <d v="2017-10-01T00:00:00"/>
    <s v="Standard Class"/>
    <s v="NB-18655"/>
    <s v="Nona Balk"/>
    <x v="1"/>
    <s v="United States"/>
    <s v="New York City"/>
    <s v="New York"/>
    <n v="10011"/>
    <x v="3"/>
    <s v="FUR-TA-10001539"/>
    <x v="0"/>
    <x v="2"/>
    <s v="Chromcraft Rectangular Conference Tables"/>
    <n v="142182"/>
  </r>
  <r>
    <s v="CA-2017-105732"/>
    <x v="1160"/>
    <d v="2017-09-18T00:00:00"/>
    <d v="2017-09-01T00:00:00"/>
    <s v="Standard Class"/>
    <s v="AG-10270"/>
    <s v="Alejandro Grove"/>
    <x v="0"/>
    <s v="United States"/>
    <s v="Omaha"/>
    <s v="Nebraska"/>
    <n v="68104"/>
    <x v="2"/>
    <s v="OFF-ST-10000419"/>
    <x v="1"/>
    <x v="7"/>
    <s v="Rogers Jumbo File, Granite"/>
    <n v="4074"/>
  </r>
  <r>
    <s v="CA-2018-108035"/>
    <x v="1161"/>
    <d v="2018-12-03T00:00:00"/>
    <d v="2018-11-01T00:00:00"/>
    <s v="Standard Class"/>
    <s v="TT-21070"/>
    <s v="Ted Trevino"/>
    <x v="0"/>
    <s v="United States"/>
    <s v="Chattanooga"/>
    <s v="Tennessee"/>
    <n v="37421"/>
    <x v="0"/>
    <s v="FUR-CH-10000454"/>
    <x v="0"/>
    <x v="9"/>
    <s v="Hon Deluxe Fabric Upholstered Stacking Chairs, Rounded Back"/>
    <n v="390368"/>
  </r>
  <r>
    <s v="CA-2015-165568"/>
    <x v="1162"/>
    <d v="2015-02-19T00:00:00"/>
    <d v="2015-02-01T00:00:00"/>
    <s v="Standard Class"/>
    <s v="BF-11020"/>
    <s v="Barry Französisch"/>
    <x v="1"/>
    <s v="United States"/>
    <s v="Seattle"/>
    <s v="Washington"/>
    <n v="98105"/>
    <x v="1"/>
    <s v="OFF-BI-10001031"/>
    <x v="1"/>
    <x v="5"/>
    <s v="Pressboard Data Binders by Wilson Jones"/>
    <n v="2136"/>
  </r>
  <r>
    <s v="CA-2018-121048"/>
    <x v="1163"/>
    <d v="2018-07-18T00:00:00"/>
    <d v="2018-07-01T00:00:00"/>
    <s v="Standard Class"/>
    <s v="TC-21295"/>
    <s v="Toby Carlisle"/>
    <x v="0"/>
    <s v="United States"/>
    <s v="Westminster"/>
    <s v="California"/>
    <n v="92683"/>
    <x v="1"/>
    <s v="OFF-BI-10004022"/>
    <x v="1"/>
    <x v="5"/>
    <s v="Acco Suede Grain Vinyl Round Ring Binder"/>
    <n v="4448"/>
  </r>
  <r>
    <s v="CA-2015-140396"/>
    <x v="1164"/>
    <d v="2015-11-25T00:00:00"/>
    <d v="2015-11-01T00:00:00"/>
    <s v="Standard Class"/>
    <s v="KH-16330"/>
    <s v="Katharine Harms"/>
    <x v="1"/>
    <s v="United States"/>
    <s v="New York City"/>
    <s v="New York"/>
    <n v="10024"/>
    <x v="3"/>
    <s v="OFF-EN-10002592"/>
    <x v="1"/>
    <x v="11"/>
    <s v="Peel &amp; Seel Recycled Catalog Envelopes, Brown"/>
    <n v="3474"/>
  </r>
  <r>
    <s v="CA-2015-133354"/>
    <x v="1165"/>
    <d v="2015-02-24T00:00:00"/>
    <d v="2015-02-01T00:00:00"/>
    <s v="First Class"/>
    <s v="SA-20830"/>
    <s v="Sue Ann Reed"/>
    <x v="0"/>
    <s v="United States"/>
    <s v="Moreno Valley"/>
    <s v="California"/>
    <n v="92553"/>
    <x v="1"/>
    <s v="OFF-PA-10001800"/>
    <x v="1"/>
    <x v="4"/>
    <s v="Xerox 220"/>
    <n v="1944"/>
  </r>
  <r>
    <s v="US-2015-120740"/>
    <x v="1166"/>
    <d v="2015-04-15T00:00:00"/>
    <d v="2015-04-01T00:00:00"/>
    <s v="Same Day"/>
    <s v="PS-18970"/>
    <s v="Paul Stevenson"/>
    <x v="2"/>
    <s v="United States"/>
    <s v="Los Angeles"/>
    <s v="California"/>
    <n v="90049"/>
    <x v="1"/>
    <s v="OFF-AP-10000240"/>
    <x v="1"/>
    <x v="6"/>
    <s v="Belkin F9G930V10-GRY 9 Outlet Surge"/>
    <n v="10696"/>
  </r>
  <r>
    <s v="CA-2015-105417"/>
    <x v="1167"/>
    <d v="2015-01-12T00:00:00"/>
    <d v="2015-01-01T00:00:00"/>
    <s v="Standard Class"/>
    <s v="VS-21820"/>
    <s v="Vivek Sundaresam"/>
    <x v="0"/>
    <s v="United States"/>
    <s v="Huntsville"/>
    <s v="Texas"/>
    <n v="77340"/>
    <x v="2"/>
    <s v="FUR-FU-10004864"/>
    <x v="0"/>
    <x v="3"/>
    <s v="Howard Miller 14-1/2&quot; Diameter Chrome Round Wall Clock"/>
    <n v="76728"/>
  </r>
  <r>
    <s v="CA-2018-139493"/>
    <x v="1168"/>
    <d v="2018-09-19T00:00:00"/>
    <d v="2018-09-01T00:00:00"/>
    <s v="Standard Class"/>
    <s v="SG-20605"/>
    <s v="Speros Goranitis"/>
    <x v="0"/>
    <s v="United States"/>
    <s v="Asheville"/>
    <s v="North Carolina"/>
    <n v="28806"/>
    <x v="0"/>
    <s v="OFF-AR-10003158"/>
    <x v="1"/>
    <x v="8"/>
    <s v="Fluorescent Highlighters by Dixon"/>
    <n v="1592"/>
  </r>
  <r>
    <s v="CA-2015-142951"/>
    <x v="1169"/>
    <d v="2015-10-08T00:00:00"/>
    <d v="2015-10-01T00:00:00"/>
    <s v="Same Day"/>
    <s v="JG-15115"/>
    <s v="Jack Garza"/>
    <x v="0"/>
    <s v="United States"/>
    <s v="Charlotte"/>
    <s v="North Carolina"/>
    <n v="28205"/>
    <x v="0"/>
    <s v="TEC-AC-10002331"/>
    <x v="2"/>
    <x v="12"/>
    <s v="Maxell 74 Minute CDR, 10/Pack"/>
    <n v="23472"/>
  </r>
  <r>
    <s v="CA-2018-107958"/>
    <x v="1170"/>
    <d v="2018-07-05T00:00:00"/>
    <d v="2018-07-01T00:00:00"/>
    <s v="First Class"/>
    <s v="AH-10120"/>
    <s v="Adrian Hane"/>
    <x v="2"/>
    <s v="United States"/>
    <s v="Houston"/>
    <s v="Texas"/>
    <n v="77036"/>
    <x v="2"/>
    <s v="OFF-PA-10000357"/>
    <x v="1"/>
    <x v="4"/>
    <s v="White Dual Perf Computer Printout Paper, 2700 Sheets, 1 Part, Heavyweight, 20 lbs., 14 7/8 x 11"/>
    <n v="16396"/>
  </r>
  <r>
    <s v="CA-2016-149636"/>
    <x v="1171"/>
    <d v="2016-01-12T00:00:00"/>
    <d v="2016-01-01T00:00:00"/>
    <s v="Standard Class"/>
    <s v="SP-20620"/>
    <s v="Stefania Perrino"/>
    <x v="1"/>
    <s v="United States"/>
    <s v="Colorado Springs"/>
    <s v="Colorado"/>
    <n v="80906"/>
    <x v="1"/>
    <s v="OFF-PA-10004041"/>
    <x v="1"/>
    <x v="4"/>
    <s v="It's Hot Message Books with Stickers, 2 3/4&quot; x 5&quot;"/>
    <n v="296"/>
  </r>
  <r>
    <s v="CA-2017-152800"/>
    <x v="1172"/>
    <d v="2017-04-15T00:00:00"/>
    <d v="2017-04-01T00:00:00"/>
    <s v="First Class"/>
    <s v="SP-20920"/>
    <s v="Susan Pistek"/>
    <x v="0"/>
    <s v="United States"/>
    <s v="San Francisco"/>
    <s v="California"/>
    <n v="94109"/>
    <x v="1"/>
    <s v="OFF-EN-10001509"/>
    <x v="1"/>
    <x v="11"/>
    <s v="Poly String Tie Envelopes"/>
    <n v="612"/>
  </r>
  <r>
    <s v="CA-2017-134334"/>
    <x v="1173"/>
    <d v="2017-02-15T00:00:00"/>
    <d v="2017-02-01T00:00:00"/>
    <s v="First Class"/>
    <s v="DK-13090"/>
    <s v="Dave Kipp"/>
    <x v="0"/>
    <s v="United States"/>
    <s v="Clinton"/>
    <s v="Maryland"/>
    <n v="20735"/>
    <x v="3"/>
    <s v="OFF-PA-10000791"/>
    <x v="1"/>
    <x v="4"/>
    <s v="Wirebound Message Books, Four 2 3/4 x 5 Forms per Page, 200 Sets per Book"/>
    <n v="477"/>
  </r>
  <r>
    <s v="CA-2015-125150"/>
    <x v="1174"/>
    <d v="2015-05-23T00:00:00"/>
    <d v="2015-05-01T00:00:00"/>
    <s v="Standard Class"/>
    <s v="PW-19030"/>
    <s v="Pauline Webber"/>
    <x v="1"/>
    <s v="United States"/>
    <s v="Los Angeles"/>
    <s v="California"/>
    <n v="90036"/>
    <x v="1"/>
    <s v="FUR-CH-10002439"/>
    <x v="0"/>
    <x v="9"/>
    <s v="Iceberg Nesting Folding Chair, 19w x 6d x 43h"/>
    <n v="23288"/>
  </r>
  <r>
    <s v="CA-2016-128958"/>
    <x v="1175"/>
    <d v="2016-01-28T00:00:00"/>
    <d v="2016-01-01T00:00:00"/>
    <s v="Standard Class"/>
    <s v="CR-12820"/>
    <s v="Cyra Reiten"/>
    <x v="2"/>
    <s v="United States"/>
    <s v="West Palm Beach"/>
    <s v="Florida"/>
    <n v="33407"/>
    <x v="0"/>
    <s v="OFF-AR-10004757"/>
    <x v="1"/>
    <x v="8"/>
    <s v="Crayola Colored Pencils"/>
    <n v="1312"/>
  </r>
  <r>
    <s v="US-2015-137869"/>
    <x v="1176"/>
    <d v="2015-04-02T00:00:00"/>
    <d v="2015-03-01T00:00:00"/>
    <s v="Standard Class"/>
    <s v="CV-12295"/>
    <s v="Christina VanderZanden"/>
    <x v="0"/>
    <s v="United States"/>
    <s v="Des Moines"/>
    <s v="Iowa"/>
    <n v="50315"/>
    <x v="2"/>
    <s v="OFF-EN-10001509"/>
    <x v="1"/>
    <x v="11"/>
    <s v="Poly String Tie Envelopes"/>
    <n v="612"/>
  </r>
  <r>
    <s v="CA-2016-143364"/>
    <x v="1177"/>
    <d v="2016-07-19T00:00:00"/>
    <d v="2016-07-01T00:00:00"/>
    <s v="Second Class"/>
    <s v="TG-21310"/>
    <s v="Toby Gnade"/>
    <x v="0"/>
    <s v="United States"/>
    <s v="Mesa"/>
    <s v="Arizona"/>
    <n v="85204"/>
    <x v="1"/>
    <s v="OFF-ST-10002743"/>
    <x v="1"/>
    <x v="7"/>
    <s v="SAFCO Boltless Steel Shelving"/>
    <n v="272736"/>
  </r>
  <r>
    <s v="CA-2015-166051"/>
    <x v="1178"/>
    <d v="2015-06-05T00:00:00"/>
    <d v="2015-05-01T00:00:00"/>
    <s v="Standard Class"/>
    <s v="JK-15625"/>
    <s v="Jim Karlsson"/>
    <x v="0"/>
    <s v="United States"/>
    <s v="Jackson"/>
    <s v="Mississippi"/>
    <n v="39212"/>
    <x v="0"/>
    <s v="TEC-PH-10002680"/>
    <x v="2"/>
    <x v="10"/>
    <s v="Samsung Galaxy Note 3"/>
    <n v="65997"/>
  </r>
  <r>
    <s v="CA-2015-103800"/>
    <x v="1179"/>
    <d v="2015-01-07T00:00:00"/>
    <d v="2015-01-01T00:00:00"/>
    <s v="Standard Class"/>
    <s v="DP-13000"/>
    <s v="Darren Powers"/>
    <x v="0"/>
    <s v="United States"/>
    <s v="Houston"/>
    <s v="Texas"/>
    <n v="77095"/>
    <x v="2"/>
    <s v="OFF-PA-10000174"/>
    <x v="1"/>
    <x v="4"/>
    <s v="Message Book, Wirebound, Four 5 1/2&quot; X 4&quot; Forms/Pg., 200 Dupl. Sets/Book"/>
    <n v="16448"/>
  </r>
  <r>
    <s v="CA-2017-137939"/>
    <x v="1180"/>
    <d v="2017-07-23T00:00:00"/>
    <d v="2017-07-01T00:00:00"/>
    <s v="Second Class"/>
    <s v="PJ-19015"/>
    <s v="Pauline Johnson"/>
    <x v="0"/>
    <s v="United States"/>
    <s v="Long Beach"/>
    <s v="New York"/>
    <n v="11561"/>
    <x v="3"/>
    <s v="TEC-PH-10003589"/>
    <x v="2"/>
    <x v="10"/>
    <s v="invisibleSHIELD by ZAGG Smudge-Free Screen Protector"/>
    <n v="8995"/>
  </r>
  <r>
    <s v="CA-2016-153738"/>
    <x v="1181"/>
    <d v="2016-09-22T00:00:00"/>
    <d v="2016-09-01T00:00:00"/>
    <s v="First Class"/>
    <s v="AG-10270"/>
    <s v="Alejandro Grove"/>
    <x v="0"/>
    <s v="United States"/>
    <s v="Lawrence"/>
    <s v="Massachusetts"/>
    <n v="1841"/>
    <x v="3"/>
    <s v="OFF-BI-10001308"/>
    <x v="1"/>
    <x v="5"/>
    <s v="GBC Standard Plastic Binding Systems' Combs"/>
    <n v="3768"/>
  </r>
  <r>
    <s v="US-2016-160563"/>
    <x v="1182"/>
    <d v="2016-10-24T00:00:00"/>
    <d v="2016-10-01T00:00:00"/>
    <s v="Standard Class"/>
    <s v="NS-18640"/>
    <s v="Noel Staavos"/>
    <x v="1"/>
    <s v="United States"/>
    <s v="San Francisco"/>
    <s v="California"/>
    <n v="94109"/>
    <x v="1"/>
    <s v="TEC-AC-10002567"/>
    <x v="2"/>
    <x v="12"/>
    <s v="Logitech G602 Wireless Gaming Mouse"/>
    <n v="23997"/>
  </r>
  <r>
    <s v="CA-2018-143658"/>
    <x v="1183"/>
    <d v="2018-11-13T00:00:00"/>
    <d v="2018-11-01T00:00:00"/>
    <s v="Second Class"/>
    <s v="SR-20425"/>
    <s v="Sharelle Roach"/>
    <x v="2"/>
    <s v="United States"/>
    <s v="New York City"/>
    <s v="New York"/>
    <n v="10035"/>
    <x v="3"/>
    <s v="OFF-AR-10002818"/>
    <x v="1"/>
    <x v="8"/>
    <s v="Panasonic KP-310 Heavy-Duty Electric Pencil Sharpener"/>
    <n v="1099"/>
  </r>
  <r>
    <s v="CA-2016-149846"/>
    <x v="1184"/>
    <d v="2016-05-26T00:00:00"/>
    <d v="2016-05-01T00:00:00"/>
    <s v="Standard Class"/>
    <s v="SB-20185"/>
    <s v="Sarah Brown"/>
    <x v="0"/>
    <s v="United States"/>
    <s v="Los Angeles"/>
    <s v="California"/>
    <n v="90045"/>
    <x v="1"/>
    <s v="OFF-LA-10004484"/>
    <x v="1"/>
    <x v="1"/>
    <s v="Avery 476"/>
    <n v="826"/>
  </r>
  <r>
    <s v="CA-2017-120803"/>
    <x v="1185"/>
    <d v="2017-03-13T00:00:00"/>
    <d v="2017-03-01T00:00:00"/>
    <s v="Standard Class"/>
    <s v="RB-19465"/>
    <s v="Rick Bensley"/>
    <x v="2"/>
    <s v="United States"/>
    <s v="Milford"/>
    <s v="Connecticut"/>
    <n v="6460"/>
    <x v="3"/>
    <s v="TEC-AC-10004469"/>
    <x v="2"/>
    <x v="12"/>
    <s v="Microsoft Sculpt Comfort Mouse"/>
    <n v="19975"/>
  </r>
  <r>
    <s v="CA-2017-162355"/>
    <x v="1186"/>
    <d v="2017-07-02T00:00:00"/>
    <d v="2017-06-01T00:00:00"/>
    <s v="Second Class"/>
    <s v="PF-19165"/>
    <s v="Philip Fox"/>
    <x v="0"/>
    <s v="United States"/>
    <s v="Sandy Springs"/>
    <s v="Georgia"/>
    <n v="30328"/>
    <x v="0"/>
    <s v="OFF-AR-10004344"/>
    <x v="1"/>
    <x v="8"/>
    <s v="Bulldog Vacuum Base Pencil Sharpener"/>
    <n v="3597"/>
  </r>
  <r>
    <s v="CA-2016-129217"/>
    <x v="1187"/>
    <d v="2016-05-10T00:00:00"/>
    <d v="2016-05-01T00:00:00"/>
    <s v="Same Day"/>
    <s v="DP-13390"/>
    <s v="Dennis Pardue"/>
    <x v="2"/>
    <s v="United States"/>
    <s v="Aurora"/>
    <s v="Illinois"/>
    <n v="60505"/>
    <x v="2"/>
    <s v="OFF-AP-10002439"/>
    <x v="1"/>
    <x v="6"/>
    <s v="Tripp Lite Isotel 8 Ultra 8 Outlet Metal Surge"/>
    <n v="7097"/>
  </r>
  <r>
    <s v="CA-2018-134810"/>
    <x v="1188"/>
    <d v="2018-05-10T00:00:00"/>
    <d v="2018-05-01T00:00:00"/>
    <s v="First Class"/>
    <s v="MC-17605"/>
    <s v="Matt Connell"/>
    <x v="1"/>
    <s v="United States"/>
    <s v="Jacksonville"/>
    <s v="North Carolina"/>
    <n v="28540"/>
    <x v="0"/>
    <s v="OFF-EN-10002504"/>
    <x v="1"/>
    <x v="11"/>
    <s v="Tyvek  Top-Opening Peel &amp; Seel Envelopes, Plain White"/>
    <n v="65232"/>
  </r>
  <r>
    <s v="US-2018-167318"/>
    <x v="1189"/>
    <d v="2018-08-01T00:00:00"/>
    <d v="2018-07-01T00:00:00"/>
    <s v="Standard Class"/>
    <s v="GZ-14545"/>
    <s v="George Zrebassa"/>
    <x v="1"/>
    <s v="United States"/>
    <s v="Los Angeles"/>
    <s v="California"/>
    <n v="90036"/>
    <x v="1"/>
    <s v="TEC-AC-10003870"/>
    <x v="2"/>
    <x v="12"/>
    <s v="Logitech Z-906 Speaker sys - home theater - 5.1-CH"/>
    <n v="164995"/>
  </r>
  <r>
    <s v="CA-2017-128671"/>
    <x v="1190"/>
    <d v="2017-08-16T00:00:00"/>
    <d v="2017-08-01T00:00:00"/>
    <s v="Standard Class"/>
    <s v="MT-18070"/>
    <s v="Michelle Tran"/>
    <x v="2"/>
    <s v="United States"/>
    <s v="Tulsa"/>
    <s v="Oklahoma"/>
    <n v="74133"/>
    <x v="2"/>
    <s v="OFF-PA-10001870"/>
    <x v="1"/>
    <x v="4"/>
    <s v="Xerox 202"/>
    <n v="324"/>
  </r>
  <r>
    <s v="CA-2018-107265"/>
    <x v="1191"/>
    <d v="2018-04-12T00:00:00"/>
    <d v="2018-04-01T00:00:00"/>
    <s v="Standard Class"/>
    <s v="ML-17755"/>
    <s v="Max Ludwig"/>
    <x v="2"/>
    <s v="United States"/>
    <s v="Marion"/>
    <s v="Iowa"/>
    <n v="52302"/>
    <x v="2"/>
    <s v="OFF-PA-10000474"/>
    <x v="1"/>
    <x v="4"/>
    <s v="Easy-staple paper"/>
    <n v="10632"/>
  </r>
  <r>
    <s v="CA-2018-114370"/>
    <x v="1192"/>
    <d v="2018-03-17T00:00:00"/>
    <d v="2018-03-01T00:00:00"/>
    <s v="Second Class"/>
    <s v="BN-11470"/>
    <s v="Brad Norvell"/>
    <x v="1"/>
    <s v="United States"/>
    <s v="Chicago"/>
    <s v="Illinois"/>
    <n v="60623"/>
    <x v="2"/>
    <s v="TEC-PH-10000213"/>
    <x v="2"/>
    <x v="10"/>
    <s v="Seidio BD2-HK3IPH5-BK DILEX Case and Holster Combo for Apple iPhone 5/5s - Black"/>
    <n v="49616"/>
  </r>
  <r>
    <s v="US-2017-155173"/>
    <x v="1193"/>
    <d v="2017-03-10T00:00:00"/>
    <d v="2017-03-01T00:00:00"/>
    <s v="Standard Class"/>
    <s v="JB-16045"/>
    <s v="Julia Barnett"/>
    <x v="2"/>
    <s v="United States"/>
    <s v="Philadelphia"/>
    <s v="Pennsylvania"/>
    <n v="19120"/>
    <x v="3"/>
    <s v="TEC-PH-10004586"/>
    <x v="2"/>
    <x v="10"/>
    <s v="Wilson SignalBoost 841262 DB PRO Amplifier Kit"/>
    <n v="43194"/>
  </r>
  <r>
    <s v="CA-2015-146500"/>
    <x v="1194"/>
    <d v="2015-09-04T00:00:00"/>
    <d v="2015-08-01T00:00:00"/>
    <s v="Standard Class"/>
    <s v="AT-10735"/>
    <s v="Annie Thurman"/>
    <x v="0"/>
    <s v="United States"/>
    <s v="Bristol"/>
    <s v="Connecticut"/>
    <n v="6010"/>
    <x v="3"/>
    <s v="OFF-BI-10002432"/>
    <x v="1"/>
    <x v="5"/>
    <s v="Wilson Jones Standard D-Ring Binders"/>
    <n v="253"/>
  </r>
  <r>
    <s v="CA-2015-169061"/>
    <x v="1195"/>
    <d v="2015-03-08T00:00:00"/>
    <d v="2015-03-01T00:00:00"/>
    <s v="Second Class"/>
    <s v="AB-10150"/>
    <s v="Aimee Bixby"/>
    <x v="0"/>
    <s v="United States"/>
    <s v="Yonkers"/>
    <s v="New York"/>
    <n v="10701"/>
    <x v="3"/>
    <s v="OFF-AR-10000588"/>
    <x v="1"/>
    <x v="8"/>
    <s v="Newell 345"/>
    <n v="5952"/>
  </r>
  <r>
    <s v="CA-2017-119074"/>
    <x v="1196"/>
    <d v="2017-03-31T00:00:00"/>
    <d v="2017-03-01T00:00:00"/>
    <s v="Standard Class"/>
    <s v="DS-13180"/>
    <s v="David Smith"/>
    <x v="1"/>
    <s v="United States"/>
    <s v="Columbus"/>
    <s v="Georgia"/>
    <n v="31907"/>
    <x v="0"/>
    <s v="FUR-FU-10004053"/>
    <x v="0"/>
    <x v="3"/>
    <s v="DAX Two-Tone Silver Metal Document Frame"/>
    <n v="2024"/>
  </r>
  <r>
    <s v="CA-2017-123540"/>
    <x v="1197"/>
    <d v="2017-04-06T00:00:00"/>
    <d v="2017-04-01T00:00:00"/>
    <s v="Second Class"/>
    <s v="DJ-13420"/>
    <s v="Denny Joy"/>
    <x v="1"/>
    <s v="United States"/>
    <s v="Milwaukee"/>
    <s v="Wisconsin"/>
    <n v="53209"/>
    <x v="2"/>
    <s v="FUR-CH-10000847"/>
    <x v="0"/>
    <x v="9"/>
    <s v="Global Executive Mid-Back Manager's Chair"/>
    <n v="14549"/>
  </r>
  <r>
    <s v="CA-2017-146437"/>
    <x v="1198"/>
    <d v="2017-02-01T00:00:00"/>
    <d v="2017-01-01T00:00:00"/>
    <s v="Second Class"/>
    <s v="HG-14965"/>
    <s v="Henry Goldwyn"/>
    <x v="1"/>
    <s v="United States"/>
    <s v="Los Angeles"/>
    <s v="California"/>
    <n v="90036"/>
    <x v="1"/>
    <s v="OFF-AR-10000588"/>
    <x v="1"/>
    <x v="8"/>
    <s v="Newell 345"/>
    <n v="3968"/>
  </r>
  <r>
    <s v="CA-2017-138233"/>
    <x v="1199"/>
    <d v="2017-11-14T00:00:00"/>
    <d v="2017-11-01T00:00:00"/>
    <s v="Standard Class"/>
    <s v="PF-19165"/>
    <s v="Philip Fox"/>
    <x v="0"/>
    <s v="United States"/>
    <s v="Oakland"/>
    <s v="California"/>
    <n v="94601"/>
    <x v="1"/>
    <s v="TEC-AC-10002001"/>
    <x v="2"/>
    <x v="12"/>
    <s v="Logitech Wireless Gaming Headset G930"/>
    <n v="47997"/>
  </r>
  <r>
    <s v="CA-2018-141705"/>
    <x v="1200"/>
    <d v="2018-10-26T00:00:00"/>
    <d v="2018-10-01T00:00:00"/>
    <s v="First Class"/>
    <s v="PO-18850"/>
    <s v="Patrick O'Brill"/>
    <x v="0"/>
    <s v="United States"/>
    <s v="Mansfield"/>
    <s v="Texas"/>
    <n v="76063"/>
    <x v="2"/>
    <s v="FUR-TA-10004607"/>
    <x v="0"/>
    <x v="2"/>
    <s v="Hon 2111 Invitation Series Straight Table"/>
    <n v="517405"/>
  </r>
  <r>
    <s v="US-2015-132745"/>
    <x v="1201"/>
    <d v="2015-10-05T00:00:00"/>
    <d v="2015-10-01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71"/>
  </r>
  <r>
    <s v="CA-2016-132276"/>
    <x v="1202"/>
    <d v="2016-02-28T00:00:00"/>
    <d v="2016-02-01T00:00:00"/>
    <s v="Standard Class"/>
    <s v="LC-16960"/>
    <s v="Lindsay Castell"/>
    <x v="2"/>
    <s v="United States"/>
    <s v="New York City"/>
    <s v="New York"/>
    <n v="10024"/>
    <x v="3"/>
    <s v="OFF-AP-10000804"/>
    <x v="1"/>
    <x v="6"/>
    <s v="Hoover Portapower Portable Vacuum"/>
    <n v="2688"/>
  </r>
  <r>
    <s v="US-2017-150140"/>
    <x v="1203"/>
    <d v="2017-04-10T00:00:00"/>
    <d v="2017-04-01T00:00:00"/>
    <s v="Standard Class"/>
    <s v="VM-21685"/>
    <s v="Valerie Mitchum"/>
    <x v="2"/>
    <s v="United States"/>
    <s v="Burlington"/>
    <s v="Vermont"/>
    <m/>
    <x v="3"/>
    <s v="TEC-PH-10002555"/>
    <x v="2"/>
    <x v="10"/>
    <s v="Nortel Meridian M5316 Digital phone"/>
    <n v="129475"/>
  </r>
  <r>
    <s v="CA-2015-116666"/>
    <x v="1204"/>
    <d v="2015-05-10T00:00:00"/>
    <d v="2015-05-01T00:00:00"/>
    <s v="First Class"/>
    <s v="KT-16480"/>
    <s v="Kean Thornton"/>
    <x v="0"/>
    <s v="United States"/>
    <s v="Philadelphia"/>
    <s v="Pennsylvania"/>
    <n v="19134"/>
    <x v="3"/>
    <s v="TEC-CO-10001449"/>
    <x v="2"/>
    <x v="15"/>
    <s v="Hewlett Packard LaserJet 3310 Copier"/>
    <n v="179997"/>
  </r>
  <r>
    <s v="US-2017-112396"/>
    <x v="1205"/>
    <d v="2017-02-13T00:00:00"/>
    <d v="2017-02-01T00:00:00"/>
    <s v="Standard Class"/>
    <s v="JR-16210"/>
    <s v="Justin Ritter"/>
    <x v="1"/>
    <s v="United States"/>
    <s v="San Francisco"/>
    <s v="California"/>
    <n v="94110"/>
    <x v="1"/>
    <s v="TEC-AC-10003628"/>
    <x v="2"/>
    <x v="12"/>
    <s v="Logitech 910-002974 M325 Wireless Mouse for Web Scrolling"/>
    <n v="8997"/>
  </r>
  <r>
    <s v="CA-2017-150483"/>
    <x v="1206"/>
    <d v="2017-06-04T00:00:00"/>
    <d v="2017-05-01T00:00:00"/>
    <s v="Standard Class"/>
    <s v="BP-11290"/>
    <s v="Beth Paige"/>
    <x v="0"/>
    <s v="United States"/>
    <s v="Decatur"/>
    <s v="Illinois"/>
    <n v="62521"/>
    <x v="2"/>
    <s v="FUR-FU-10001379"/>
    <x v="0"/>
    <x v="3"/>
    <s v="Executive Impressions 16-1/2&quot; Circular Wall Clock"/>
    <n v="32064"/>
  </r>
  <r>
    <s v="CA-2016-109603"/>
    <x v="1207"/>
    <d v="2016-02-01T00:00:00"/>
    <d v="2016-01-01T00:00:00"/>
    <s v="Standard Class"/>
    <s v="EM-13825"/>
    <s v="Elizabeth Moffitt"/>
    <x v="1"/>
    <s v="United States"/>
    <s v="Moreno Valley"/>
    <s v="California"/>
    <n v="92553"/>
    <x v="1"/>
    <s v="OFF-PA-10003790"/>
    <x v="1"/>
    <x v="4"/>
    <s v="Xerox 1991"/>
    <n v="18272"/>
  </r>
  <r>
    <s v="CA-2018-111717"/>
    <x v="1208"/>
    <d v="2018-10-16T00:00:00"/>
    <d v="2018-10-01T00:00:00"/>
    <s v="Standard Class"/>
    <s v="SW-20245"/>
    <s v="Scot Wooten"/>
    <x v="0"/>
    <s v="United States"/>
    <s v="Aurora"/>
    <s v="Illinois"/>
    <n v="60505"/>
    <x v="2"/>
    <s v="FUR-CH-10001545"/>
    <x v="0"/>
    <x v="9"/>
    <s v="Hon Comfortask Task/Swivel Chairs"/>
    <n v="239358"/>
  </r>
  <r>
    <s v="CA-2018-106047"/>
    <x v="1209"/>
    <d v="2018-07-18T00:00:00"/>
    <d v="2018-07-01T00:00:00"/>
    <s v="Standard Class"/>
    <s v="CS-11860"/>
    <s v="Cari Schnelling"/>
    <x v="0"/>
    <s v="United States"/>
    <s v="Fairfield"/>
    <s v="Ohio"/>
    <n v="45014"/>
    <x v="3"/>
    <s v="OFF-PA-10000791"/>
    <x v="1"/>
    <x v="4"/>
    <s v="Wirebound Message Books, Four 2 3/4 x 5 Forms per Page, 200 Sets per Book"/>
    <n v="3816"/>
  </r>
  <r>
    <s v="CA-2016-165554"/>
    <x v="1210"/>
    <d v="2016-05-22T00:00:00"/>
    <d v="2016-05-01T00:00:00"/>
    <s v="Standard Class"/>
    <s v="AJ-10780"/>
    <s v="Anthony Jacobs"/>
    <x v="1"/>
    <s v="United States"/>
    <s v="Los Angeles"/>
    <s v="California"/>
    <n v="90004"/>
    <x v="1"/>
    <s v="OFF-PA-10003724"/>
    <x v="1"/>
    <x v="4"/>
    <s v="Wirebound Message Book, 4 per Page"/>
    <n v="1086"/>
  </r>
  <r>
    <s v="CA-2015-102645"/>
    <x v="1211"/>
    <d v="2015-01-28T00:00:00"/>
    <d v="2015-01-01T00:00:00"/>
    <s v="Standard Class"/>
    <s v="IM-15055"/>
    <s v="Ionia McGrath"/>
    <x v="0"/>
    <s v="United States"/>
    <s v="Las Vegas"/>
    <s v="Nevada"/>
    <n v="89115"/>
    <x v="1"/>
    <s v="OFF-PA-10001804"/>
    <x v="1"/>
    <x v="4"/>
    <s v="Xerox 195"/>
    <n v="4008"/>
  </r>
  <r>
    <s v="CA-2016-164007"/>
    <x v="1212"/>
    <d v="2016-06-12T00:00:00"/>
    <d v="2016-06-01T00:00:00"/>
    <s v="Standard Class"/>
    <s v="MG-17695"/>
    <s v="Maureen Gnade"/>
    <x v="0"/>
    <s v="United States"/>
    <s v="Chicago"/>
    <s v="Illinois"/>
    <n v="60610"/>
    <x v="2"/>
    <s v="TEC-AC-10003433"/>
    <x v="2"/>
    <x v="12"/>
    <s v="Maxell 4.7GB DVD+R 5/Pack"/>
    <n v="2376"/>
  </r>
  <r>
    <s v="CA-2015-125759"/>
    <x v="1213"/>
    <d v="2015-02-09T00:00:00"/>
    <d v="2015-02-01T00:00:00"/>
    <s v="First Class"/>
    <s v="NM-18445"/>
    <s v="Nathan Mautz"/>
    <x v="2"/>
    <s v="United States"/>
    <s v="North Las Vegas"/>
    <s v="Nevada"/>
    <n v="89031"/>
    <x v="1"/>
    <s v="FUR-FU-10002111"/>
    <x v="0"/>
    <x v="3"/>
    <s v="Master Caster Door Stop, Large Brown"/>
    <n v="1456"/>
  </r>
  <r>
    <s v="CA-2016-111948"/>
    <x v="1214"/>
    <d v="2016-11-11T00:00:00"/>
    <d v="2016-11-01T00:00:00"/>
    <s v="Same Day"/>
    <s v="AG-10495"/>
    <s v="Andrew Gjertsen"/>
    <x v="1"/>
    <s v="United States"/>
    <s v="Detroit"/>
    <s v="Michigan"/>
    <n v="48234"/>
    <x v="2"/>
    <s v="OFF-ST-10003282"/>
    <x v="1"/>
    <x v="7"/>
    <s v="Advantus 10-Drawer Portable Organizer, Chrome Metal Frame, Smoke Drawers"/>
    <n v="41832"/>
  </r>
  <r>
    <s v="CA-2018-124940"/>
    <x v="1215"/>
    <d v="2018-02-26T00:00:00"/>
    <d v="2018-02-01T00:00:00"/>
    <s v="Standard Class"/>
    <s v="DK-13090"/>
    <s v="Dave Kipp"/>
    <x v="0"/>
    <s v="United States"/>
    <s v="Carrollton"/>
    <s v="Texas"/>
    <n v="75007"/>
    <x v="2"/>
    <s v="TEC-AC-10002076"/>
    <x v="2"/>
    <x v="12"/>
    <s v="Microsoft Natural Keyboard Elite"/>
    <n v="47904"/>
  </r>
  <r>
    <s v="CA-2016-167696"/>
    <x v="1216"/>
    <d v="2016-09-21T00:00:00"/>
    <d v="2016-09-01T00:00:00"/>
    <s v="Standard Class"/>
    <s v="BD-11500"/>
    <s v="Bradley Drucker"/>
    <x v="0"/>
    <s v="United States"/>
    <s v="Newport News"/>
    <s v="Virginia"/>
    <n v="23602"/>
    <x v="0"/>
    <s v="OFF-EN-10001539"/>
    <x v="1"/>
    <x v="11"/>
    <s v="Staple envelope"/>
    <n v="3112"/>
  </r>
  <r>
    <s v="CA-2015-159814"/>
    <x v="1217"/>
    <d v="2015-06-28T00:00:00"/>
    <d v="2015-06-01T00:00:00"/>
    <s v="Standard Class"/>
    <s v="LP-17080"/>
    <s v="Liz Pelletier"/>
    <x v="0"/>
    <s v="United States"/>
    <s v="Tucson"/>
    <s v="Arizona"/>
    <n v="85705"/>
    <x v="1"/>
    <s v="FUR-FU-10001731"/>
    <x v="0"/>
    <x v="3"/>
    <s v="Acrylic Self-Standing Desk Frames"/>
    <n v="4272"/>
  </r>
  <r>
    <s v="CA-2015-148285"/>
    <x v="1218"/>
    <d v="2015-11-01T00:00:00"/>
    <d v="2015-10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4"/>
    <s v="Xerox 2"/>
    <n v="10368"/>
  </r>
  <r>
    <s v="CA-2015-156545"/>
    <x v="1219"/>
    <d v="2015-03-03T00:00:00"/>
    <d v="2015-02-01T00:00:00"/>
    <s v="First Class"/>
    <s v="JS-16030"/>
    <s v="Joy Smith"/>
    <x v="0"/>
    <s v="United States"/>
    <s v="Columbus"/>
    <s v="Ohio"/>
    <n v="43229"/>
    <x v="3"/>
    <s v="OFF-AR-10003560"/>
    <x v="1"/>
    <x v="8"/>
    <s v="Zebra Zazzle Fluorescent Highlighters"/>
    <n v="19456"/>
  </r>
  <r>
    <s v="US-2017-102232"/>
    <x v="1220"/>
    <d v="2017-08-11T00:00:00"/>
    <d v="2017-08-01T00:00:00"/>
    <s v="Standard Class"/>
    <s v="MF-17665"/>
    <s v="Maureen Fritzler"/>
    <x v="1"/>
    <s v="United States"/>
    <s v="Huntsville"/>
    <s v="Alabama"/>
    <n v="35810"/>
    <x v="0"/>
    <s v="OFF-AR-10000538"/>
    <x v="1"/>
    <x v="8"/>
    <s v="Boston Model 1800 Electric Pencil Sharpener, Gray"/>
    <n v="19705"/>
  </r>
  <r>
    <s v="CA-2015-154165"/>
    <x v="1221"/>
    <d v="2015-02-24T00:00:00"/>
    <d v="2015-02-01T00:00:00"/>
    <s v="Standard Class"/>
    <s v="DL-13315"/>
    <s v="Delfina Latchford"/>
    <x v="0"/>
    <s v="United States"/>
    <s v="Chicago"/>
    <s v="Illinois"/>
    <n v="60653"/>
    <x v="2"/>
    <s v="OFF-AR-10003631"/>
    <x v="1"/>
    <x v="8"/>
    <s v="Staples in misc. colors"/>
    <n v="54208"/>
  </r>
  <r>
    <s v="CA-2016-135727"/>
    <x v="1222"/>
    <d v="2016-05-16T00:00:00"/>
    <d v="2016-05-01T00:00:00"/>
    <s v="Second Class"/>
    <s v="PS-18970"/>
    <s v="Paul Stevenson"/>
    <x v="2"/>
    <s v="United States"/>
    <s v="Phoenix"/>
    <s v="Arizona"/>
    <n v="85023"/>
    <x v="1"/>
    <s v="FUR-CH-10004540"/>
    <x v="0"/>
    <x v="9"/>
    <s v="Global Chrome Stack Chair"/>
    <n v="191968"/>
  </r>
  <r>
    <s v="CA-2016-116841"/>
    <x v="1223"/>
    <d v="2016-04-18T00:00:00"/>
    <d v="2016-04-01T00:00:00"/>
    <s v="Standard Class"/>
    <s v="TP-21130"/>
    <s v="Theone Pippenger"/>
    <x v="0"/>
    <s v="United States"/>
    <s v="Springfield"/>
    <s v="Oregon"/>
    <n v="97477"/>
    <x v="1"/>
    <s v="OFF-AP-10002403"/>
    <x v="1"/>
    <x v="6"/>
    <s v="Acco Smartsocket Color-Coded Six-Outlet AC Adapter Model Surge Protectors"/>
    <n v="35208"/>
  </r>
  <r>
    <s v="CA-2016-116638"/>
    <x v="1224"/>
    <d v="2016-01-31T00:00:00"/>
    <d v="2016-01-01T00:00:00"/>
    <s v="Second Class"/>
    <s v="JH-15985"/>
    <s v="Joseph Holt"/>
    <x v="0"/>
    <s v="United States"/>
    <s v="Concord"/>
    <s v="North Carolina"/>
    <n v="28027"/>
    <x v="0"/>
    <s v="FUR-TA-10000198"/>
    <x v="0"/>
    <x v="2"/>
    <s v="Chromcraft Bull-Nose Wood Oval Conference Tables &amp; Bases"/>
    <n v="4297644"/>
  </r>
  <r>
    <s v="CA-2015-144281"/>
    <x v="1225"/>
    <d v="2015-06-15T00:00:00"/>
    <d v="2015-06-01T00:00:00"/>
    <s v="Second Class"/>
    <s v="HK-14890"/>
    <s v="Heather Kirkland"/>
    <x v="1"/>
    <s v="United States"/>
    <s v="Detroit"/>
    <s v="Michigan"/>
    <n v="48234"/>
    <x v="2"/>
    <s v="OFF-LA-10003930"/>
    <x v="1"/>
    <x v="1"/>
    <s v="Dot Matrix Printer Tape Reel Labels, White, 5000/Box"/>
    <n v="49155"/>
  </r>
  <r>
    <s v="CA-2017-113390"/>
    <x v="1226"/>
    <d v="2017-10-15T00:00:00"/>
    <d v="2017-10-01T00:00:00"/>
    <s v="Standard Class"/>
    <s v="EP-13915"/>
    <s v="Emily Phan"/>
    <x v="0"/>
    <s v="United States"/>
    <s v="Chicago"/>
    <s v="Illinois"/>
    <n v="60610"/>
    <x v="2"/>
    <s v="OFF-AR-10003183"/>
    <x v="1"/>
    <x v="8"/>
    <s v="Avery Fluorescent Highlighter Four-Color Set"/>
    <n v="5344"/>
  </r>
  <r>
    <s v="CA-2015-123855"/>
    <x v="1227"/>
    <d v="2015-06-23T00:00:00"/>
    <d v="2015-06-01T00:00:00"/>
    <s v="Standard Class"/>
    <s v="MC-18100"/>
    <s v="Mick Crebagga"/>
    <x v="0"/>
    <s v="United States"/>
    <s v="Los Angeles"/>
    <s v="California"/>
    <n v="90036"/>
    <x v="1"/>
    <s v="TEC-PH-10000215"/>
    <x v="2"/>
    <x v="10"/>
    <s v="Plantronics Cordless Phone Headset with In-line Volume - M214C"/>
    <n v="1398"/>
  </r>
  <r>
    <s v="CA-2018-101959"/>
    <x v="1228"/>
    <d v="2018-03-06T00:00:00"/>
    <d v="2018-02-01T00:00:00"/>
    <s v="Standard Class"/>
    <s v="DB-13660"/>
    <s v="Duane Benoit"/>
    <x v="0"/>
    <s v="United States"/>
    <s v="Middletown"/>
    <s v="Connecticut"/>
    <n v="6457"/>
    <x v="3"/>
    <s v="OFF-BI-10001757"/>
    <x v="1"/>
    <x v="5"/>
    <s v="Pressboard Hanging Data Binders for Unburst Sheets"/>
    <n v="984"/>
  </r>
  <r>
    <s v="CA-2016-155635"/>
    <x v="1229"/>
    <d v="2016-05-13T00:00:00"/>
    <d v="2016-05-01T00:00:00"/>
    <s v="Standard Class"/>
    <s v="ME-17725"/>
    <s v="Max Engle"/>
    <x v="0"/>
    <s v="United States"/>
    <s v="Louisville"/>
    <s v="Kentucky"/>
    <n v="40214"/>
    <x v="0"/>
    <s v="OFF-BI-10000962"/>
    <x v="1"/>
    <x v="5"/>
    <s v="Acco Flexible ACCOHIDE Square Ring Data Binder, Dark Blue, 11 1/2&quot; X 14&quot; 7/8&quot;"/>
    <n v="48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353F7-5712-43FD-B365-6C74E80C5C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outh">
  <location ref="A3:B8" firstHeaderRow="1" firstDataRow="1" firstDataCol="1"/>
  <pivotFields count="20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3B2F1-959F-4984-BB1B-56F0F04AC54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1" firstHeaderRow="1" firstDataRow="1" firstDataCol="1"/>
  <pivotFields count="20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2"/>
        <item x="6"/>
        <item x="8"/>
        <item x="5"/>
        <item x="0"/>
        <item x="9"/>
        <item x="15"/>
        <item x="11"/>
        <item x="13"/>
        <item x="3"/>
        <item x="1"/>
        <item x="14"/>
        <item x="4"/>
        <item x="10"/>
        <item x="7"/>
        <item x="1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6"/>
    </i>
    <i>
      <x v="4"/>
    </i>
    <i>
      <x v="13"/>
    </i>
    <i>
      <x v="5"/>
    </i>
    <i>
      <x v="6"/>
    </i>
    <i>
      <x v="14"/>
    </i>
    <i>
      <x v="11"/>
    </i>
    <i>
      <x v="3"/>
    </i>
    <i>
      <x v="9"/>
    </i>
    <i>
      <x v="1"/>
    </i>
    <i>
      <x/>
    </i>
    <i>
      <x v="12"/>
    </i>
    <i>
      <x v="2"/>
    </i>
    <i>
      <x v="7"/>
    </i>
    <i>
      <x v="15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383FA-5CEE-4CE5-A61B-BF3C79FC7DD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6" firstHeaderRow="1" firstDataRow="1" firstDataCol="1"/>
  <pivotFields count="20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71299-83A9-4B5D-B09C-E217F0666AC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0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5F9F1-40F0-44F6-8AFB-09500FBEEF5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0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4A83EA-F65B-4D7A-AD6E-9CFDDAA8066E}" autoFormatId="16" applyNumberFormats="0" applyBorderFormats="0" applyFontFormats="0" applyPatternFormats="0" applyAlignmentFormats="0" applyWidthHeightFormats="0">
  <queryTableRefresh nextId="19">
    <queryTableFields count="18">
      <queryTableField id="1" name="Order ID" tableColumnId="1"/>
      <queryTableField id="2" name="Order Date" tableColumnId="2"/>
      <queryTableField id="3" name="Ship Date" tableColumnId="3"/>
      <queryTableField id="4" name="Month &amp; Year Order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F31B0-44D7-4D97-8236-14568A28C570}" name="Sales_Data" displayName="Sales_Data" ref="A1:R1231" tableType="queryTable" totalsRowShown="0">
  <autoFilter ref="A1:R1231" xr:uid="{8C6F31B0-44D7-4D97-8236-14568A28C570}"/>
  <tableColumns count="18">
    <tableColumn id="1" xr3:uid="{D6BF7198-ED4E-42DF-8CA2-6812D2F09C3C}" uniqueName="1" name="Order ID" queryTableFieldId="1" dataDxfId="16"/>
    <tableColumn id="2" xr3:uid="{CDDBB46D-4862-477A-A619-3914485ACFCA}" uniqueName="2" name="Order Date" queryTableFieldId="2" dataDxfId="15"/>
    <tableColumn id="3" xr3:uid="{A9304A85-8655-4B1E-A43F-1DD355433EDE}" uniqueName="3" name="Ship Date" queryTableFieldId="3" dataDxfId="14"/>
    <tableColumn id="4" xr3:uid="{791F6800-5740-4F6B-B5B1-1528B45413BB}" uniqueName="4" name="Month &amp; Year Order" queryTableFieldId="4" dataDxfId="13"/>
    <tableColumn id="5" xr3:uid="{45AD53FD-3BAD-44A9-8953-416452DCC335}" uniqueName="5" name="Ship Mode" queryTableFieldId="5" dataDxfId="12"/>
    <tableColumn id="6" xr3:uid="{0739B4CE-50F5-4038-A198-BC65A3C94AAC}" uniqueName="6" name="Customer ID" queryTableFieldId="6" dataDxfId="11"/>
    <tableColumn id="7" xr3:uid="{7C0CD03B-4031-46BF-821F-900054E76B9C}" uniqueName="7" name="Customer Name" queryTableFieldId="7" dataDxfId="10"/>
    <tableColumn id="8" xr3:uid="{7E188D15-2B5C-4F18-A7B5-45B0A0589FC6}" uniqueName="8" name="Segment" queryTableFieldId="8" dataDxfId="9"/>
    <tableColumn id="9" xr3:uid="{7D1D7285-A59D-41F3-B866-F2BDD57DAF91}" uniqueName="9" name="Country" queryTableFieldId="9" dataDxfId="8"/>
    <tableColumn id="10" xr3:uid="{364F7800-F9E8-4FA8-951F-9570DCE5E458}" uniqueName="10" name="City" queryTableFieldId="10" dataDxfId="7"/>
    <tableColumn id="11" xr3:uid="{02F35481-254A-4C23-81EF-2A744B9944E9}" uniqueName="11" name="State" queryTableFieldId="11" dataDxfId="6"/>
    <tableColumn id="12" xr3:uid="{71DFF7D1-8E0C-4854-9A5B-8E5BC228D1F7}" uniqueName="12" name="Postal Code" queryTableFieldId="12"/>
    <tableColumn id="13" xr3:uid="{B2F26009-5678-4203-9E79-4CB98A9318E6}" uniqueName="13" name="Region" queryTableFieldId="13" dataDxfId="5"/>
    <tableColumn id="14" xr3:uid="{5ACD2344-484B-4C3C-9323-E9BCECA60CFF}" uniqueName="14" name="Product ID" queryTableFieldId="14" dataDxfId="4"/>
    <tableColumn id="15" xr3:uid="{9A994E16-C444-4C93-AE78-AA0E68C6642A}" uniqueName="15" name="Category" queryTableFieldId="15" dataDxfId="3"/>
    <tableColumn id="16" xr3:uid="{8796F7CE-C6CD-40BD-8041-9C04F6594C5C}" uniqueName="16" name="Sub-Category" queryTableFieldId="16" dataDxfId="2"/>
    <tableColumn id="17" xr3:uid="{3FE7AD1A-2AC7-4937-A2A1-893177D707CF}" uniqueName="17" name="Product Name" queryTableFieldId="17" dataDxfId="1"/>
    <tableColumn id="18" xr3:uid="{4B956BA8-6ACF-4259-A99B-9EF409C5619E}" uniqueName="18" name="Sal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79E8-476A-4308-930A-FF05E19253E8}">
  <dimension ref="A3:B8"/>
  <sheetViews>
    <sheetView workbookViewId="0">
      <selection activeCell="P18" sqref="P18"/>
    </sheetView>
  </sheetViews>
  <sheetFormatPr defaultRowHeight="14.4" x14ac:dyDescent="0.3"/>
  <cols>
    <col min="1" max="1" width="10.5546875" bestFit="1" customWidth="1"/>
    <col min="2" max="2" width="11.5546875" bestFit="1" customWidth="1"/>
  </cols>
  <sheetData>
    <row r="3" spans="1:2" x14ac:dyDescent="0.3">
      <c r="A3" s="4" t="s">
        <v>26</v>
      </c>
      <c r="B3" t="s">
        <v>4662</v>
      </c>
    </row>
    <row r="4" spans="1:2" x14ac:dyDescent="0.3">
      <c r="A4" s="5" t="s">
        <v>79</v>
      </c>
      <c r="B4">
        <v>46032948</v>
      </c>
    </row>
    <row r="5" spans="1:2" x14ac:dyDescent="0.3">
      <c r="A5" s="5" t="s">
        <v>117</v>
      </c>
      <c r="B5">
        <v>38036705</v>
      </c>
    </row>
    <row r="6" spans="1:2" x14ac:dyDescent="0.3">
      <c r="A6" s="5" t="s">
        <v>26</v>
      </c>
      <c r="B6">
        <v>34362474</v>
      </c>
    </row>
    <row r="7" spans="1:2" x14ac:dyDescent="0.3">
      <c r="A7" s="5" t="s">
        <v>37</v>
      </c>
      <c r="B7">
        <v>41186075</v>
      </c>
    </row>
    <row r="8" spans="1:2" x14ac:dyDescent="0.3">
      <c r="A8" s="5" t="s">
        <v>4661</v>
      </c>
      <c r="B8">
        <v>159618202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D8DE-93A8-4CC5-A168-54594AE6A197}">
  <dimension ref="A3:B21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4660</v>
      </c>
      <c r="B3" t="s">
        <v>4662</v>
      </c>
    </row>
    <row r="4" spans="1:2" x14ac:dyDescent="0.3">
      <c r="A4" s="5" t="s">
        <v>49</v>
      </c>
      <c r="B4" s="14">
        <v>29765873</v>
      </c>
    </row>
    <row r="5" spans="1:2" x14ac:dyDescent="0.3">
      <c r="A5" s="5" t="s">
        <v>29</v>
      </c>
      <c r="B5" s="14">
        <v>27664641</v>
      </c>
    </row>
    <row r="6" spans="1:2" x14ac:dyDescent="0.3">
      <c r="A6" s="5" t="s">
        <v>148</v>
      </c>
      <c r="B6" s="14">
        <v>25822400</v>
      </c>
    </row>
    <row r="7" spans="1:2" x14ac:dyDescent="0.3">
      <c r="A7" s="5" t="s">
        <v>119</v>
      </c>
      <c r="B7" s="14">
        <v>21868551</v>
      </c>
    </row>
    <row r="8" spans="1:2" x14ac:dyDescent="0.3">
      <c r="A8" s="5" t="s">
        <v>1143</v>
      </c>
      <c r="B8" s="14">
        <v>15399872</v>
      </c>
    </row>
    <row r="9" spans="1:2" x14ac:dyDescent="0.3">
      <c r="A9" s="5" t="s">
        <v>89</v>
      </c>
      <c r="B9" s="14">
        <v>7312609</v>
      </c>
    </row>
    <row r="10" spans="1:2" x14ac:dyDescent="0.3">
      <c r="A10" s="5" t="s">
        <v>680</v>
      </c>
      <c r="B10" s="14">
        <v>7284930</v>
      </c>
    </row>
    <row r="11" spans="1:2" x14ac:dyDescent="0.3">
      <c r="A11" s="5" t="s">
        <v>71</v>
      </c>
      <c r="B11" s="14">
        <v>7233721</v>
      </c>
    </row>
    <row r="12" spans="1:2" x14ac:dyDescent="0.3">
      <c r="A12" s="5" t="s">
        <v>55</v>
      </c>
      <c r="B12" s="14">
        <v>4470128</v>
      </c>
    </row>
    <row r="13" spans="1:2" x14ac:dyDescent="0.3">
      <c r="A13" s="5" t="s">
        <v>81</v>
      </c>
      <c r="B13" s="14">
        <v>3162137</v>
      </c>
    </row>
    <row r="14" spans="1:2" x14ac:dyDescent="0.3">
      <c r="A14" s="5" t="s">
        <v>180</v>
      </c>
      <c r="B14" s="14">
        <v>3063125</v>
      </c>
    </row>
    <row r="15" spans="1:2" x14ac:dyDescent="0.3">
      <c r="A15" s="5" t="s">
        <v>63</v>
      </c>
      <c r="B15" s="14">
        <v>2589898</v>
      </c>
    </row>
    <row r="16" spans="1:2" x14ac:dyDescent="0.3">
      <c r="A16" s="5" t="s">
        <v>103</v>
      </c>
      <c r="B16" s="14">
        <v>2343108</v>
      </c>
    </row>
    <row r="17" spans="1:2" x14ac:dyDescent="0.3">
      <c r="A17" s="5" t="s">
        <v>154</v>
      </c>
      <c r="B17" s="14">
        <v>924799</v>
      </c>
    </row>
    <row r="18" spans="1:2" x14ac:dyDescent="0.3">
      <c r="A18" s="5" t="s">
        <v>1264</v>
      </c>
      <c r="B18" s="14">
        <v>383465</v>
      </c>
    </row>
    <row r="19" spans="1:2" x14ac:dyDescent="0.3">
      <c r="A19" s="5" t="s">
        <v>40</v>
      </c>
      <c r="B19" s="14">
        <v>227847</v>
      </c>
    </row>
    <row r="20" spans="1:2" x14ac:dyDescent="0.3">
      <c r="A20" s="5" t="s">
        <v>209</v>
      </c>
      <c r="B20" s="14">
        <v>101098</v>
      </c>
    </row>
    <row r="21" spans="1:2" x14ac:dyDescent="0.3">
      <c r="A21" s="5" t="s">
        <v>4661</v>
      </c>
      <c r="B21" s="14">
        <v>159618202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B820-018E-4460-AE4D-C0AE447FB80C}">
  <dimension ref="A3:B56"/>
  <sheetViews>
    <sheetView topLeftCell="A10" workbookViewId="0">
      <selection activeCell="H35" sqref="H35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4660</v>
      </c>
      <c r="B3" t="s">
        <v>4662</v>
      </c>
    </row>
    <row r="4" spans="1:2" x14ac:dyDescent="0.3">
      <c r="A4" s="5" t="s">
        <v>4663</v>
      </c>
      <c r="B4">
        <v>28890257</v>
      </c>
    </row>
    <row r="5" spans="1:2" x14ac:dyDescent="0.3">
      <c r="A5" s="6" t="s">
        <v>4667</v>
      </c>
      <c r="B5">
        <v>736252</v>
      </c>
    </row>
    <row r="6" spans="1:2" x14ac:dyDescent="0.3">
      <c r="A6" s="6" t="s">
        <v>4668</v>
      </c>
      <c r="B6">
        <v>406716</v>
      </c>
    </row>
    <row r="7" spans="1:2" x14ac:dyDescent="0.3">
      <c r="A7" s="6" t="s">
        <v>4669</v>
      </c>
      <c r="B7">
        <v>3028074</v>
      </c>
    </row>
    <row r="8" spans="1:2" x14ac:dyDescent="0.3">
      <c r="A8" s="6" t="s">
        <v>4670</v>
      </c>
      <c r="B8">
        <v>1538964</v>
      </c>
    </row>
    <row r="9" spans="1:2" x14ac:dyDescent="0.3">
      <c r="A9" s="6" t="s">
        <v>4671</v>
      </c>
      <c r="B9">
        <v>2056098</v>
      </c>
    </row>
    <row r="10" spans="1:2" x14ac:dyDescent="0.3">
      <c r="A10" s="6" t="s">
        <v>4672</v>
      </c>
      <c r="B10">
        <v>2103387</v>
      </c>
    </row>
    <row r="11" spans="1:2" x14ac:dyDescent="0.3">
      <c r="A11" s="6" t="s">
        <v>4673</v>
      </c>
      <c r="B11">
        <v>2340060</v>
      </c>
    </row>
    <row r="12" spans="1:2" x14ac:dyDescent="0.3">
      <c r="A12" s="6" t="s">
        <v>4674</v>
      </c>
      <c r="B12">
        <v>1736091</v>
      </c>
    </row>
    <row r="13" spans="1:2" x14ac:dyDescent="0.3">
      <c r="A13" s="6" t="s">
        <v>4675</v>
      </c>
      <c r="B13">
        <v>4321373</v>
      </c>
    </row>
    <row r="14" spans="1:2" x14ac:dyDescent="0.3">
      <c r="A14" s="6" t="s">
        <v>4676</v>
      </c>
      <c r="B14">
        <v>3930222</v>
      </c>
    </row>
    <row r="15" spans="1:2" x14ac:dyDescent="0.3">
      <c r="A15" s="6" t="s">
        <v>4677</v>
      </c>
      <c r="B15">
        <v>1879736</v>
      </c>
    </row>
    <row r="16" spans="1:2" x14ac:dyDescent="0.3">
      <c r="A16" s="6" t="s">
        <v>4678</v>
      </c>
      <c r="B16">
        <v>4813284</v>
      </c>
    </row>
    <row r="17" spans="1:2" x14ac:dyDescent="0.3">
      <c r="A17" s="5" t="s">
        <v>4664</v>
      </c>
      <c r="B17">
        <v>43740464</v>
      </c>
    </row>
    <row r="18" spans="1:2" x14ac:dyDescent="0.3">
      <c r="A18" s="6" t="s">
        <v>4667</v>
      </c>
      <c r="B18">
        <v>6098012</v>
      </c>
    </row>
    <row r="19" spans="1:2" x14ac:dyDescent="0.3">
      <c r="A19" s="6" t="s">
        <v>4668</v>
      </c>
      <c r="B19">
        <v>365639</v>
      </c>
    </row>
    <row r="20" spans="1:2" x14ac:dyDescent="0.3">
      <c r="A20" s="6" t="s">
        <v>4669</v>
      </c>
      <c r="B20">
        <v>1508959</v>
      </c>
    </row>
    <row r="21" spans="1:2" x14ac:dyDescent="0.3">
      <c r="A21" s="6" t="s">
        <v>4670</v>
      </c>
      <c r="B21">
        <v>2429279</v>
      </c>
    </row>
    <row r="22" spans="1:2" x14ac:dyDescent="0.3">
      <c r="A22" s="6" t="s">
        <v>4671</v>
      </c>
      <c r="B22">
        <v>3005756</v>
      </c>
    </row>
    <row r="23" spans="1:2" x14ac:dyDescent="0.3">
      <c r="A23" s="6" t="s">
        <v>4672</v>
      </c>
      <c r="B23">
        <v>2064651</v>
      </c>
    </row>
    <row r="24" spans="1:2" x14ac:dyDescent="0.3">
      <c r="A24" s="6" t="s">
        <v>4673</v>
      </c>
      <c r="B24">
        <v>3117338</v>
      </c>
    </row>
    <row r="25" spans="1:2" x14ac:dyDescent="0.3">
      <c r="A25" s="6" t="s">
        <v>4674</v>
      </c>
      <c r="B25">
        <v>2115765</v>
      </c>
    </row>
    <row r="26" spans="1:2" x14ac:dyDescent="0.3">
      <c r="A26" s="6" t="s">
        <v>4675</v>
      </c>
      <c r="B26">
        <v>2726748</v>
      </c>
    </row>
    <row r="27" spans="1:2" x14ac:dyDescent="0.3">
      <c r="A27" s="6" t="s">
        <v>4676</v>
      </c>
      <c r="B27">
        <v>10959680</v>
      </c>
    </row>
    <row r="28" spans="1:2" x14ac:dyDescent="0.3">
      <c r="A28" s="6" t="s">
        <v>4677</v>
      </c>
      <c r="B28">
        <v>6353074</v>
      </c>
    </row>
    <row r="29" spans="1:2" x14ac:dyDescent="0.3">
      <c r="A29" s="6" t="s">
        <v>4678</v>
      </c>
      <c r="B29">
        <v>2995563</v>
      </c>
    </row>
    <row r="30" spans="1:2" x14ac:dyDescent="0.3">
      <c r="A30" s="5" t="s">
        <v>4665</v>
      </c>
      <c r="B30">
        <v>37972750</v>
      </c>
    </row>
    <row r="31" spans="1:2" x14ac:dyDescent="0.3">
      <c r="A31" s="6" t="s">
        <v>4667</v>
      </c>
      <c r="B31">
        <v>1832970</v>
      </c>
    </row>
    <row r="32" spans="1:2" x14ac:dyDescent="0.3">
      <c r="A32" s="6" t="s">
        <v>4668</v>
      </c>
      <c r="B32">
        <v>2227161</v>
      </c>
    </row>
    <row r="33" spans="1:2" x14ac:dyDescent="0.3">
      <c r="A33" s="6" t="s">
        <v>4669</v>
      </c>
      <c r="B33">
        <v>2805344</v>
      </c>
    </row>
    <row r="34" spans="1:2" x14ac:dyDescent="0.3">
      <c r="A34" s="6" t="s">
        <v>4670</v>
      </c>
      <c r="B34">
        <v>3959483</v>
      </c>
    </row>
    <row r="35" spans="1:2" x14ac:dyDescent="0.3">
      <c r="A35" s="6" t="s">
        <v>4671</v>
      </c>
      <c r="B35">
        <v>758999</v>
      </c>
    </row>
    <row r="36" spans="1:2" x14ac:dyDescent="0.3">
      <c r="A36" s="6" t="s">
        <v>4672</v>
      </c>
      <c r="B36">
        <v>1724512</v>
      </c>
    </row>
    <row r="37" spans="1:2" x14ac:dyDescent="0.3">
      <c r="A37" s="6" t="s">
        <v>4673</v>
      </c>
      <c r="B37">
        <v>2296061</v>
      </c>
    </row>
    <row r="38" spans="1:2" x14ac:dyDescent="0.3">
      <c r="A38" s="6" t="s">
        <v>4674</v>
      </c>
      <c r="B38">
        <v>1724959</v>
      </c>
    </row>
    <row r="39" spans="1:2" x14ac:dyDescent="0.3">
      <c r="A39" s="6" t="s">
        <v>4675</v>
      </c>
      <c r="B39">
        <v>12486656</v>
      </c>
    </row>
    <row r="40" spans="1:2" x14ac:dyDescent="0.3">
      <c r="A40" s="6" t="s">
        <v>4676</v>
      </c>
      <c r="B40">
        <v>1187493</v>
      </c>
    </row>
    <row r="41" spans="1:2" x14ac:dyDescent="0.3">
      <c r="A41" s="6" t="s">
        <v>4677</v>
      </c>
      <c r="B41">
        <v>800008</v>
      </c>
    </row>
    <row r="42" spans="1:2" x14ac:dyDescent="0.3">
      <c r="A42" s="6" t="s">
        <v>4678</v>
      </c>
      <c r="B42">
        <v>6169104</v>
      </c>
    </row>
    <row r="43" spans="1:2" x14ac:dyDescent="0.3">
      <c r="A43" s="5" t="s">
        <v>4666</v>
      </c>
      <c r="B43">
        <v>49014731</v>
      </c>
    </row>
    <row r="44" spans="1:2" x14ac:dyDescent="0.3">
      <c r="A44" s="6" t="s">
        <v>4667</v>
      </c>
      <c r="B44">
        <v>4157460</v>
      </c>
    </row>
    <row r="45" spans="1:2" x14ac:dyDescent="0.3">
      <c r="A45" s="6" t="s">
        <v>4668</v>
      </c>
      <c r="B45">
        <v>1187491</v>
      </c>
    </row>
    <row r="46" spans="1:2" x14ac:dyDescent="0.3">
      <c r="A46" s="6" t="s">
        <v>4669</v>
      </c>
      <c r="B46">
        <v>3254920</v>
      </c>
    </row>
    <row r="47" spans="1:2" x14ac:dyDescent="0.3">
      <c r="A47" s="6" t="s">
        <v>4670</v>
      </c>
      <c r="B47">
        <v>422894</v>
      </c>
    </row>
    <row r="48" spans="1:2" x14ac:dyDescent="0.3">
      <c r="A48" s="6" t="s">
        <v>4671</v>
      </c>
      <c r="B48">
        <v>1132354</v>
      </c>
    </row>
    <row r="49" spans="1:2" x14ac:dyDescent="0.3">
      <c r="A49" s="6" t="s">
        <v>4672</v>
      </c>
      <c r="B49">
        <v>10543867</v>
      </c>
    </row>
    <row r="50" spans="1:2" x14ac:dyDescent="0.3">
      <c r="A50" s="6" t="s">
        <v>4673</v>
      </c>
      <c r="B50">
        <v>1244536</v>
      </c>
    </row>
    <row r="51" spans="1:2" x14ac:dyDescent="0.3">
      <c r="A51" s="6" t="s">
        <v>4674</v>
      </c>
      <c r="B51">
        <v>6800683</v>
      </c>
    </row>
    <row r="52" spans="1:2" x14ac:dyDescent="0.3">
      <c r="A52" s="6" t="s">
        <v>4675</v>
      </c>
      <c r="B52">
        <v>2038312</v>
      </c>
    </row>
    <row r="53" spans="1:2" x14ac:dyDescent="0.3">
      <c r="A53" s="6" t="s">
        <v>4676</v>
      </c>
      <c r="B53">
        <v>13997785</v>
      </c>
    </row>
    <row r="54" spans="1:2" x14ac:dyDescent="0.3">
      <c r="A54" s="6" t="s">
        <v>4677</v>
      </c>
      <c r="B54">
        <v>2762495</v>
      </c>
    </row>
    <row r="55" spans="1:2" x14ac:dyDescent="0.3">
      <c r="A55" s="6" t="s">
        <v>4678</v>
      </c>
      <c r="B55">
        <v>1471934</v>
      </c>
    </row>
    <row r="56" spans="1:2" x14ac:dyDescent="0.3">
      <c r="A56" s="5" t="s">
        <v>4661</v>
      </c>
      <c r="B56">
        <v>159618202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ECFD-6DFF-4976-BB39-BC360C6E64B7}">
  <dimension ref="A3:B7"/>
  <sheetViews>
    <sheetView workbookViewId="0">
      <selection activeCell="M20" sqref="M20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4660</v>
      </c>
      <c r="B3" t="s">
        <v>4662</v>
      </c>
    </row>
    <row r="4" spans="1:2" x14ac:dyDescent="0.3">
      <c r="A4" s="5" t="s">
        <v>22</v>
      </c>
      <c r="B4">
        <v>79927918</v>
      </c>
    </row>
    <row r="5" spans="1:2" x14ac:dyDescent="0.3">
      <c r="A5" s="5" t="s">
        <v>34</v>
      </c>
      <c r="B5">
        <v>51129636</v>
      </c>
    </row>
    <row r="6" spans="1:2" x14ac:dyDescent="0.3">
      <c r="A6" s="5" t="s">
        <v>76</v>
      </c>
      <c r="B6">
        <v>28560648</v>
      </c>
    </row>
    <row r="7" spans="1:2" x14ac:dyDescent="0.3">
      <c r="A7" s="5" t="s">
        <v>4661</v>
      </c>
      <c r="B7">
        <v>159618202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3834-C93B-451E-8288-DA9B5CC0EC64}">
  <dimension ref="A1:P241"/>
  <sheetViews>
    <sheetView topLeftCell="A37" workbookViewId="0">
      <selection activeCell="R9" sqref="R9"/>
    </sheetView>
  </sheetViews>
  <sheetFormatPr defaultRowHeight="14.4" x14ac:dyDescent="0.3"/>
  <cols>
    <col min="1" max="1" width="17.6640625" bestFit="1" customWidth="1"/>
    <col min="3" max="3" width="18" bestFit="1" customWidth="1"/>
    <col min="5" max="5" width="18" bestFit="1" customWidth="1"/>
    <col min="7" max="7" width="17.6640625" bestFit="1" customWidth="1"/>
    <col min="9" max="9" width="16.88671875" bestFit="1" customWidth="1"/>
  </cols>
  <sheetData>
    <row r="1" spans="1:16" x14ac:dyDescent="0.3">
      <c r="A1" s="7" t="s">
        <v>4679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8"/>
      <c r="P1" s="8"/>
    </row>
    <row r="2" spans="1:16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</row>
    <row r="3" spans="1:16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8"/>
    </row>
    <row r="4" spans="1:1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8"/>
    </row>
    <row r="5" spans="1:16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8"/>
    </row>
    <row r="6" spans="1:16" x14ac:dyDescent="0.3">
      <c r="A6" s="8"/>
      <c r="B6" s="8"/>
      <c r="C6" s="8"/>
      <c r="D6" s="8"/>
      <c r="E6" s="8"/>
      <c r="F6" s="8"/>
      <c r="G6" s="9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10" t="s">
        <v>4680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  <c r="O7" s="8"/>
      <c r="P7" s="8"/>
    </row>
    <row r="8" spans="1:16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  <c r="O8" s="8"/>
      <c r="P8" s="8"/>
    </row>
    <row r="9" spans="1:16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11" t="s">
        <v>4681</v>
      </c>
      <c r="B10" s="11"/>
      <c r="C10" s="11" t="s">
        <v>4682</v>
      </c>
      <c r="D10" s="11"/>
      <c r="E10" s="11" t="s">
        <v>4683</v>
      </c>
      <c r="F10" s="11"/>
      <c r="G10" s="11" t="s">
        <v>4684</v>
      </c>
      <c r="H10" s="11"/>
      <c r="I10" s="11" t="s">
        <v>4685</v>
      </c>
      <c r="J10" s="11"/>
      <c r="K10" s="11"/>
      <c r="L10" s="11"/>
      <c r="M10" s="11"/>
      <c r="N10" s="8"/>
      <c r="O10" s="8"/>
      <c r="P10" s="8"/>
    </row>
    <row r="11" spans="1:16" x14ac:dyDescent="0.3">
      <c r="A11" s="13">
        <f>SUM('Cleaned Data'!R2:R1231)</f>
        <v>159618202</v>
      </c>
      <c r="B11" s="12"/>
      <c r="C11" s="13">
        <f>AVERAGE('Cleaned Data'!R2:R1231)</f>
        <v>129770.89593495935</v>
      </c>
      <c r="D11" s="12"/>
      <c r="E11" s="13">
        <f>MAX('Cleaned Data'!R1:R1231)</f>
        <v>11199968</v>
      </c>
      <c r="F11" s="12"/>
      <c r="G11" s="13">
        <f>MIN('Cleaned Data'!R2:R1231)</f>
        <v>6</v>
      </c>
      <c r="H11" s="12"/>
      <c r="I11" s="13">
        <f>ROWS('Cleaned Data'!A2:A1231)</f>
        <v>1230</v>
      </c>
      <c r="J11" s="12"/>
      <c r="K11" s="12"/>
      <c r="L11" s="12"/>
      <c r="M11" s="12"/>
      <c r="N11" s="8"/>
      <c r="O11" s="8"/>
      <c r="P11" s="8"/>
    </row>
    <row r="12" spans="1:16" x14ac:dyDescent="0.3">
      <c r="A12" s="13"/>
      <c r="B12" s="12"/>
      <c r="C12" s="13"/>
      <c r="D12" s="12"/>
      <c r="E12" s="13"/>
      <c r="F12" s="12"/>
      <c r="G12" s="13"/>
      <c r="H12" s="12"/>
      <c r="I12" s="13"/>
      <c r="J12" s="12"/>
      <c r="K12" s="12"/>
      <c r="L12" s="12"/>
      <c r="M12" s="12"/>
      <c r="N12" s="8"/>
      <c r="O12" s="8"/>
      <c r="P12" s="8"/>
    </row>
    <row r="13" spans="1:16" x14ac:dyDescent="0.3">
      <c r="A13" s="13"/>
      <c r="B13" s="12"/>
      <c r="C13" s="13"/>
      <c r="D13" s="12"/>
      <c r="E13" s="13"/>
      <c r="F13" s="12"/>
      <c r="G13" s="13"/>
      <c r="H13" s="12"/>
      <c r="I13" s="13"/>
      <c r="J13" s="12"/>
      <c r="K13" s="12"/>
      <c r="L13" s="12"/>
      <c r="M13" s="12"/>
      <c r="N13" s="8"/>
      <c r="O13" s="8"/>
      <c r="P13" s="8"/>
    </row>
    <row r="14" spans="1:16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1:16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1:16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1:16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1:16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1:16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1:16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1:16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1:16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1:16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1:16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1:16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1:16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1:16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1:16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1:16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1:16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1:16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spans="1:16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spans="1:16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1:16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1:16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1:16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1:16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1:16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1:16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1:16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1:16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1:16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1:16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1:16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1:16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1:16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1:16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1:16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1:16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1:16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1:16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1:16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1:16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1:16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1:16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1:16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1:16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1:16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1:16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1:16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1:16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1:16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1:16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1:16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1:16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1:16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1:16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1:16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1:16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1:16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1:16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1:16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1:16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1:16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1:16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1:16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1:16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1:16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1:16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1:16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</sheetData>
  <mergeCells count="7">
    <mergeCell ref="A1:M5"/>
    <mergeCell ref="A7:M8"/>
    <mergeCell ref="A11:A13"/>
    <mergeCell ref="C11:C13"/>
    <mergeCell ref="E11:E13"/>
    <mergeCell ref="G11:G13"/>
    <mergeCell ref="I11:I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2343-DB83-44B6-BBBF-3649BCCA1573}">
  <dimension ref="A1:R1231"/>
  <sheetViews>
    <sheetView tabSelected="1" topLeftCell="A1155" zoomScale="115" zoomScaleNormal="115" workbookViewId="0">
      <selection activeCell="D1159" sqref="D1159"/>
    </sheetView>
  </sheetViews>
  <sheetFormatPr defaultRowHeight="14.4" x14ac:dyDescent="0.3"/>
  <cols>
    <col min="1" max="1" width="15.109375" bestFit="1" customWidth="1"/>
    <col min="2" max="2" width="12.21875" bestFit="1" customWidth="1"/>
    <col min="3" max="3" width="11.21875" bestFit="1" customWidth="1"/>
    <col min="4" max="4" width="19.21875" bestFit="1" customWidth="1"/>
    <col min="5" max="5" width="13.109375" bestFit="1" customWidth="1"/>
    <col min="6" max="6" width="13.44140625" bestFit="1" customWidth="1"/>
    <col min="7" max="7" width="20.5546875" bestFit="1" customWidth="1"/>
    <col min="8" max="8" width="11.109375" bestFit="1" customWidth="1"/>
    <col min="9" max="9" width="11.6640625" bestFit="1" customWidth="1"/>
    <col min="10" max="10" width="17.44140625" bestFit="1" customWidth="1"/>
    <col min="11" max="11" width="17.109375" bestFit="1" customWidth="1"/>
    <col min="12" max="12" width="13.109375" bestFit="1" customWidth="1"/>
    <col min="13" max="13" width="8.77734375" bestFit="1" customWidth="1"/>
    <col min="14" max="14" width="16.6640625" bestFit="1" customWidth="1"/>
    <col min="15" max="15" width="13.21875" bestFit="1" customWidth="1"/>
    <col min="16" max="16" width="14.44140625" bestFit="1" customWidth="1"/>
    <col min="17" max="17" width="80.88671875" bestFit="1" customWidth="1"/>
    <col min="18" max="18" width="9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43047</v>
      </c>
      <c r="C2" s="1">
        <v>43050</v>
      </c>
      <c r="D2" s="1">
        <v>43040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26196</v>
      </c>
    </row>
    <row r="3" spans="1:18" x14ac:dyDescent="0.3">
      <c r="A3" t="s">
        <v>31</v>
      </c>
      <c r="B3" s="1">
        <v>42898</v>
      </c>
      <c r="C3" s="1">
        <v>42902</v>
      </c>
      <c r="D3" s="1">
        <v>42887</v>
      </c>
      <c r="E3" t="s">
        <v>19</v>
      </c>
      <c r="F3" t="s">
        <v>32</v>
      </c>
      <c r="G3" t="s">
        <v>33</v>
      </c>
      <c r="H3" t="s">
        <v>34</v>
      </c>
      <c r="I3" t="s">
        <v>23</v>
      </c>
      <c r="J3" t="s">
        <v>35</v>
      </c>
      <c r="K3" t="s">
        <v>36</v>
      </c>
      <c r="L3">
        <v>90036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>
        <v>1462</v>
      </c>
    </row>
    <row r="4" spans="1:18" x14ac:dyDescent="0.3">
      <c r="A4" t="s">
        <v>42</v>
      </c>
      <c r="B4" s="1">
        <v>42654</v>
      </c>
      <c r="C4" s="1">
        <v>42661</v>
      </c>
      <c r="D4" s="1">
        <v>42644</v>
      </c>
      <c r="E4" t="s">
        <v>43</v>
      </c>
      <c r="F4" t="s">
        <v>44</v>
      </c>
      <c r="G4" t="s">
        <v>45</v>
      </c>
      <c r="H4" t="s">
        <v>22</v>
      </c>
      <c r="I4" t="s">
        <v>23</v>
      </c>
      <c r="J4" t="s">
        <v>46</v>
      </c>
      <c r="K4" t="s">
        <v>47</v>
      </c>
      <c r="L4">
        <v>33311</v>
      </c>
      <c r="M4" t="s">
        <v>26</v>
      </c>
      <c r="N4" t="s">
        <v>48</v>
      </c>
      <c r="O4" t="s">
        <v>28</v>
      </c>
      <c r="P4" t="s">
        <v>49</v>
      </c>
      <c r="Q4" t="s">
        <v>50</v>
      </c>
      <c r="R4">
        <v>9575775</v>
      </c>
    </row>
    <row r="5" spans="1:18" x14ac:dyDescent="0.3">
      <c r="A5" t="s">
        <v>51</v>
      </c>
      <c r="B5" s="1">
        <v>42164</v>
      </c>
      <c r="C5" s="1">
        <v>42169</v>
      </c>
      <c r="D5" s="1">
        <v>42156</v>
      </c>
      <c r="E5" t="s">
        <v>43</v>
      </c>
      <c r="F5" t="s">
        <v>52</v>
      </c>
      <c r="G5" t="s">
        <v>53</v>
      </c>
      <c r="H5" t="s">
        <v>22</v>
      </c>
      <c r="I5" t="s">
        <v>23</v>
      </c>
      <c r="J5" t="s">
        <v>35</v>
      </c>
      <c r="K5" t="s">
        <v>36</v>
      </c>
      <c r="L5">
        <v>90032</v>
      </c>
      <c r="M5" t="s">
        <v>37</v>
      </c>
      <c r="N5" t="s">
        <v>54</v>
      </c>
      <c r="O5" t="s">
        <v>28</v>
      </c>
      <c r="P5" t="s">
        <v>55</v>
      </c>
      <c r="Q5" t="s">
        <v>56</v>
      </c>
      <c r="R5">
        <v>4886</v>
      </c>
    </row>
    <row r="6" spans="1:18" x14ac:dyDescent="0.3">
      <c r="A6" t="s">
        <v>57</v>
      </c>
      <c r="B6" s="1">
        <v>43205</v>
      </c>
      <c r="C6" s="1">
        <v>43210</v>
      </c>
      <c r="D6" s="1">
        <v>43191</v>
      </c>
      <c r="E6" t="s">
        <v>43</v>
      </c>
      <c r="F6" t="s">
        <v>58</v>
      </c>
      <c r="G6" t="s">
        <v>59</v>
      </c>
      <c r="H6" t="s">
        <v>22</v>
      </c>
      <c r="I6" t="s">
        <v>23</v>
      </c>
      <c r="J6" t="s">
        <v>60</v>
      </c>
      <c r="K6" t="s">
        <v>61</v>
      </c>
      <c r="L6">
        <v>28027</v>
      </c>
      <c r="M6" t="s">
        <v>26</v>
      </c>
      <c r="N6" t="s">
        <v>62</v>
      </c>
      <c r="O6" t="s">
        <v>39</v>
      </c>
      <c r="P6" t="s">
        <v>63</v>
      </c>
      <c r="Q6" t="s">
        <v>64</v>
      </c>
      <c r="R6">
        <v>15552</v>
      </c>
    </row>
    <row r="7" spans="1:18" x14ac:dyDescent="0.3">
      <c r="A7" t="s">
        <v>65</v>
      </c>
      <c r="B7" s="1">
        <v>43074</v>
      </c>
      <c r="C7" s="1">
        <v>43079</v>
      </c>
      <c r="D7" s="1">
        <v>43070</v>
      </c>
      <c r="E7" t="s">
        <v>43</v>
      </c>
      <c r="F7" t="s">
        <v>66</v>
      </c>
      <c r="G7" t="s">
        <v>67</v>
      </c>
      <c r="H7" t="s">
        <v>22</v>
      </c>
      <c r="I7" t="s">
        <v>23</v>
      </c>
      <c r="J7" t="s">
        <v>68</v>
      </c>
      <c r="K7" t="s">
        <v>69</v>
      </c>
      <c r="L7">
        <v>98103</v>
      </c>
      <c r="M7" t="s">
        <v>37</v>
      </c>
      <c r="N7" t="s">
        <v>70</v>
      </c>
      <c r="O7" t="s">
        <v>39</v>
      </c>
      <c r="P7" t="s">
        <v>71</v>
      </c>
      <c r="Q7" t="s">
        <v>72</v>
      </c>
      <c r="R7">
        <v>407976</v>
      </c>
    </row>
    <row r="8" spans="1:18" x14ac:dyDescent="0.3">
      <c r="A8" t="s">
        <v>73</v>
      </c>
      <c r="B8" s="1">
        <v>42696</v>
      </c>
      <c r="C8" s="1">
        <v>42700</v>
      </c>
      <c r="D8" s="1">
        <v>42675</v>
      </c>
      <c r="E8" t="s">
        <v>43</v>
      </c>
      <c r="F8" t="s">
        <v>74</v>
      </c>
      <c r="G8" t="s">
        <v>75</v>
      </c>
      <c r="H8" t="s">
        <v>76</v>
      </c>
      <c r="I8" t="s">
        <v>23</v>
      </c>
      <c r="J8" t="s">
        <v>77</v>
      </c>
      <c r="K8" t="s">
        <v>78</v>
      </c>
      <c r="L8">
        <v>76106</v>
      </c>
      <c r="M8" t="s">
        <v>79</v>
      </c>
      <c r="N8" t="s">
        <v>80</v>
      </c>
      <c r="O8" t="s">
        <v>39</v>
      </c>
      <c r="P8" t="s">
        <v>81</v>
      </c>
      <c r="Q8" t="s">
        <v>82</v>
      </c>
      <c r="R8">
        <v>6881</v>
      </c>
    </row>
    <row r="9" spans="1:18" x14ac:dyDescent="0.3">
      <c r="A9" t="s">
        <v>83</v>
      </c>
      <c r="B9" s="1">
        <v>42319</v>
      </c>
      <c r="C9" s="1">
        <v>42326</v>
      </c>
      <c r="D9" s="1">
        <v>42309</v>
      </c>
      <c r="E9" t="s">
        <v>43</v>
      </c>
      <c r="F9" t="s">
        <v>84</v>
      </c>
      <c r="G9" t="s">
        <v>85</v>
      </c>
      <c r="H9" t="s">
        <v>22</v>
      </c>
      <c r="I9" t="s">
        <v>23</v>
      </c>
      <c r="J9" t="s">
        <v>86</v>
      </c>
      <c r="K9" t="s">
        <v>87</v>
      </c>
      <c r="L9">
        <v>53711</v>
      </c>
      <c r="M9" t="s">
        <v>79</v>
      </c>
      <c r="N9" t="s">
        <v>88</v>
      </c>
      <c r="O9" t="s">
        <v>39</v>
      </c>
      <c r="P9" t="s">
        <v>89</v>
      </c>
      <c r="Q9" t="s">
        <v>90</v>
      </c>
      <c r="R9">
        <v>66588</v>
      </c>
    </row>
    <row r="10" spans="1:18" x14ac:dyDescent="0.3">
      <c r="A10" t="s">
        <v>91</v>
      </c>
      <c r="B10" s="1">
        <v>42137</v>
      </c>
      <c r="C10" s="1">
        <v>42139</v>
      </c>
      <c r="D10" s="1">
        <v>42125</v>
      </c>
      <c r="E10" t="s">
        <v>19</v>
      </c>
      <c r="F10" t="s">
        <v>92</v>
      </c>
      <c r="G10" t="s">
        <v>93</v>
      </c>
      <c r="H10" t="s">
        <v>22</v>
      </c>
      <c r="I10" t="s">
        <v>23</v>
      </c>
      <c r="J10" t="s">
        <v>94</v>
      </c>
      <c r="K10" t="s">
        <v>95</v>
      </c>
      <c r="L10">
        <v>84084</v>
      </c>
      <c r="M10" t="s">
        <v>37</v>
      </c>
      <c r="N10" t="s">
        <v>96</v>
      </c>
      <c r="O10" t="s">
        <v>39</v>
      </c>
      <c r="P10" t="s">
        <v>89</v>
      </c>
      <c r="Q10" t="s">
        <v>97</v>
      </c>
      <c r="R10">
        <v>555</v>
      </c>
    </row>
    <row r="11" spans="1:18" x14ac:dyDescent="0.3">
      <c r="A11" t="s">
        <v>98</v>
      </c>
      <c r="B11" s="1">
        <v>42243</v>
      </c>
      <c r="C11" s="1">
        <v>42248</v>
      </c>
      <c r="D11" s="1">
        <v>42217</v>
      </c>
      <c r="E11" t="s">
        <v>19</v>
      </c>
      <c r="F11" t="s">
        <v>99</v>
      </c>
      <c r="G11" t="s">
        <v>100</v>
      </c>
      <c r="H11" t="s">
        <v>22</v>
      </c>
      <c r="I11" t="s">
        <v>23</v>
      </c>
      <c r="J11" t="s">
        <v>101</v>
      </c>
      <c r="K11" t="s">
        <v>36</v>
      </c>
      <c r="L11">
        <v>94109</v>
      </c>
      <c r="M11" t="s">
        <v>37</v>
      </c>
      <c r="N11" t="s">
        <v>102</v>
      </c>
      <c r="O11" t="s">
        <v>39</v>
      </c>
      <c r="P11" t="s">
        <v>103</v>
      </c>
      <c r="Q11" t="s">
        <v>104</v>
      </c>
      <c r="R11">
        <v>856</v>
      </c>
    </row>
    <row r="12" spans="1:18" x14ac:dyDescent="0.3">
      <c r="A12" t="s">
        <v>105</v>
      </c>
      <c r="B12" s="1">
        <v>43078</v>
      </c>
      <c r="C12" s="1">
        <v>43082</v>
      </c>
      <c r="D12" s="1">
        <v>43070</v>
      </c>
      <c r="E12" t="s">
        <v>43</v>
      </c>
      <c r="F12" t="s">
        <v>106</v>
      </c>
      <c r="G12" t="s">
        <v>107</v>
      </c>
      <c r="H12" t="s">
        <v>34</v>
      </c>
      <c r="I12" t="s">
        <v>23</v>
      </c>
      <c r="J12" t="s">
        <v>108</v>
      </c>
      <c r="K12" t="s">
        <v>109</v>
      </c>
      <c r="L12">
        <v>68025</v>
      </c>
      <c r="M12" t="s">
        <v>79</v>
      </c>
      <c r="N12" t="s">
        <v>110</v>
      </c>
      <c r="O12" t="s">
        <v>39</v>
      </c>
      <c r="P12" t="s">
        <v>103</v>
      </c>
      <c r="Q12" t="s">
        <v>111</v>
      </c>
      <c r="R12">
        <v>1946</v>
      </c>
    </row>
    <row r="13" spans="1:18" x14ac:dyDescent="0.3">
      <c r="A13" t="s">
        <v>112</v>
      </c>
      <c r="B13" s="1">
        <v>43297</v>
      </c>
      <c r="C13" s="1">
        <v>43299</v>
      </c>
      <c r="D13" s="1">
        <v>43282</v>
      </c>
      <c r="E13" t="s">
        <v>19</v>
      </c>
      <c r="F13" t="s">
        <v>113</v>
      </c>
      <c r="G13" t="s">
        <v>114</v>
      </c>
      <c r="H13" t="s">
        <v>22</v>
      </c>
      <c r="I13" t="s">
        <v>23</v>
      </c>
      <c r="J13" t="s">
        <v>115</v>
      </c>
      <c r="K13" t="s">
        <v>116</v>
      </c>
      <c r="L13">
        <v>19140</v>
      </c>
      <c r="M13" t="s">
        <v>117</v>
      </c>
      <c r="N13" t="s">
        <v>118</v>
      </c>
      <c r="O13" t="s">
        <v>28</v>
      </c>
      <c r="P13" t="s">
        <v>119</v>
      </c>
      <c r="Q13" t="s">
        <v>120</v>
      </c>
      <c r="R13">
        <v>71372</v>
      </c>
    </row>
    <row r="14" spans="1:18" x14ac:dyDescent="0.3">
      <c r="A14" t="s">
        <v>121</v>
      </c>
      <c r="B14" s="1">
        <v>42638</v>
      </c>
      <c r="C14" s="1">
        <v>42643</v>
      </c>
      <c r="D14" s="1">
        <v>42614</v>
      </c>
      <c r="E14" t="s">
        <v>43</v>
      </c>
      <c r="F14" t="s">
        <v>122</v>
      </c>
      <c r="G14" t="s">
        <v>123</v>
      </c>
      <c r="H14" t="s">
        <v>22</v>
      </c>
      <c r="I14" t="s">
        <v>23</v>
      </c>
      <c r="J14" t="s">
        <v>124</v>
      </c>
      <c r="K14" t="s">
        <v>95</v>
      </c>
      <c r="L14">
        <v>84057</v>
      </c>
      <c r="M14" t="s">
        <v>37</v>
      </c>
      <c r="N14" t="s">
        <v>48</v>
      </c>
      <c r="O14" t="s">
        <v>28</v>
      </c>
      <c r="P14" t="s">
        <v>49</v>
      </c>
      <c r="Q14" t="s">
        <v>50</v>
      </c>
      <c r="R14">
        <v>104463</v>
      </c>
    </row>
    <row r="15" spans="1:18" x14ac:dyDescent="0.3">
      <c r="A15" t="s">
        <v>125</v>
      </c>
      <c r="B15" s="1">
        <v>42751</v>
      </c>
      <c r="C15" s="1">
        <v>42755</v>
      </c>
      <c r="D15" s="1">
        <v>42736</v>
      </c>
      <c r="E15" t="s">
        <v>19</v>
      </c>
      <c r="F15" t="s">
        <v>126</v>
      </c>
      <c r="G15" t="s">
        <v>127</v>
      </c>
      <c r="H15" t="s">
        <v>22</v>
      </c>
      <c r="I15" t="s">
        <v>23</v>
      </c>
      <c r="J15" t="s">
        <v>35</v>
      </c>
      <c r="K15" t="s">
        <v>36</v>
      </c>
      <c r="L15">
        <v>90049</v>
      </c>
      <c r="M15" t="s">
        <v>37</v>
      </c>
      <c r="N15" t="s">
        <v>128</v>
      </c>
      <c r="O15" t="s">
        <v>39</v>
      </c>
      <c r="P15" t="s">
        <v>71</v>
      </c>
      <c r="Q15" t="s">
        <v>129</v>
      </c>
      <c r="R15">
        <v>11648</v>
      </c>
    </row>
    <row r="16" spans="1:18" x14ac:dyDescent="0.3">
      <c r="A16" t="s">
        <v>130</v>
      </c>
      <c r="B16" s="1">
        <v>42630</v>
      </c>
      <c r="C16" s="1">
        <v>42634</v>
      </c>
      <c r="D16" s="1">
        <v>42614</v>
      </c>
      <c r="E16" t="s">
        <v>43</v>
      </c>
      <c r="F16" t="s">
        <v>131</v>
      </c>
      <c r="G16" t="s">
        <v>132</v>
      </c>
      <c r="H16" t="s">
        <v>22</v>
      </c>
      <c r="I16" t="s">
        <v>23</v>
      </c>
      <c r="J16" t="s">
        <v>115</v>
      </c>
      <c r="K16" t="s">
        <v>116</v>
      </c>
      <c r="L16">
        <v>19140</v>
      </c>
      <c r="M16" t="s">
        <v>117</v>
      </c>
      <c r="N16" t="s">
        <v>133</v>
      </c>
      <c r="O16" t="s">
        <v>28</v>
      </c>
      <c r="P16" t="s">
        <v>29</v>
      </c>
      <c r="Q16" t="s">
        <v>134</v>
      </c>
      <c r="R16">
        <v>308343</v>
      </c>
    </row>
    <row r="17" spans="1:18" x14ac:dyDescent="0.3">
      <c r="A17" t="s">
        <v>135</v>
      </c>
      <c r="B17" s="1">
        <v>43392</v>
      </c>
      <c r="C17" s="1">
        <v>43396</v>
      </c>
      <c r="D17" s="1">
        <v>43374</v>
      </c>
      <c r="E17" t="s">
        <v>19</v>
      </c>
      <c r="F17" t="s">
        <v>136</v>
      </c>
      <c r="G17" t="s">
        <v>137</v>
      </c>
      <c r="H17" t="s">
        <v>76</v>
      </c>
      <c r="I17" t="s">
        <v>23</v>
      </c>
      <c r="J17" t="s">
        <v>138</v>
      </c>
      <c r="K17" t="s">
        <v>78</v>
      </c>
      <c r="L17">
        <v>77095</v>
      </c>
      <c r="M17" t="s">
        <v>79</v>
      </c>
      <c r="N17" t="s">
        <v>139</v>
      </c>
      <c r="O17" t="s">
        <v>39</v>
      </c>
      <c r="P17" t="s">
        <v>63</v>
      </c>
      <c r="Q17" t="s">
        <v>140</v>
      </c>
      <c r="R17">
        <v>29472</v>
      </c>
    </row>
    <row r="18" spans="1:18" x14ac:dyDescent="0.3">
      <c r="A18" t="s">
        <v>141</v>
      </c>
      <c r="B18" s="1">
        <v>43077</v>
      </c>
      <c r="C18" s="1">
        <v>43079</v>
      </c>
      <c r="D18" s="1">
        <v>43070</v>
      </c>
      <c r="E18" t="s">
        <v>142</v>
      </c>
      <c r="F18" t="s">
        <v>143</v>
      </c>
      <c r="G18" t="s">
        <v>144</v>
      </c>
      <c r="H18" t="s">
        <v>34</v>
      </c>
      <c r="I18" t="s">
        <v>23</v>
      </c>
      <c r="J18" t="s">
        <v>145</v>
      </c>
      <c r="K18" t="s">
        <v>78</v>
      </c>
      <c r="L18">
        <v>75080</v>
      </c>
      <c r="M18" t="s">
        <v>79</v>
      </c>
      <c r="N18" t="s">
        <v>146</v>
      </c>
      <c r="O18" t="s">
        <v>147</v>
      </c>
      <c r="P18" t="s">
        <v>148</v>
      </c>
      <c r="Q18" t="s">
        <v>149</v>
      </c>
      <c r="R18">
        <v>1097544</v>
      </c>
    </row>
    <row r="19" spans="1:18" x14ac:dyDescent="0.3">
      <c r="A19" t="s">
        <v>150</v>
      </c>
      <c r="B19" s="1">
        <v>42731</v>
      </c>
      <c r="C19" s="1">
        <v>42735</v>
      </c>
      <c r="D19" s="1">
        <v>42705</v>
      </c>
      <c r="E19" t="s">
        <v>43</v>
      </c>
      <c r="F19" t="s">
        <v>151</v>
      </c>
      <c r="G19" t="s">
        <v>152</v>
      </c>
      <c r="H19" t="s">
        <v>76</v>
      </c>
      <c r="I19" t="s">
        <v>23</v>
      </c>
      <c r="J19" t="s">
        <v>138</v>
      </c>
      <c r="K19" t="s">
        <v>78</v>
      </c>
      <c r="L19">
        <v>77041</v>
      </c>
      <c r="M19" t="s">
        <v>79</v>
      </c>
      <c r="N19" t="s">
        <v>153</v>
      </c>
      <c r="O19" t="s">
        <v>39</v>
      </c>
      <c r="P19" t="s">
        <v>154</v>
      </c>
      <c r="Q19" t="s">
        <v>155</v>
      </c>
      <c r="R19">
        <v>113328</v>
      </c>
    </row>
    <row r="20" spans="1:18" x14ac:dyDescent="0.3">
      <c r="A20" t="s">
        <v>156</v>
      </c>
      <c r="B20" s="1">
        <v>43353</v>
      </c>
      <c r="C20" s="1">
        <v>43358</v>
      </c>
      <c r="D20" s="1">
        <v>43344</v>
      </c>
      <c r="E20" t="s">
        <v>43</v>
      </c>
      <c r="F20" t="s">
        <v>157</v>
      </c>
      <c r="G20" t="s">
        <v>158</v>
      </c>
      <c r="H20" t="s">
        <v>34</v>
      </c>
      <c r="I20" t="s">
        <v>23</v>
      </c>
      <c r="J20" t="s">
        <v>159</v>
      </c>
      <c r="K20" t="s">
        <v>160</v>
      </c>
      <c r="L20">
        <v>60540</v>
      </c>
      <c r="M20" t="s">
        <v>79</v>
      </c>
      <c r="N20" t="s">
        <v>161</v>
      </c>
      <c r="O20" t="s">
        <v>147</v>
      </c>
      <c r="P20" t="s">
        <v>148</v>
      </c>
      <c r="Q20" t="s">
        <v>162</v>
      </c>
      <c r="R20">
        <v>147168</v>
      </c>
    </row>
    <row r="21" spans="1:18" x14ac:dyDescent="0.3">
      <c r="A21" t="s">
        <v>163</v>
      </c>
      <c r="B21" s="1">
        <v>42933</v>
      </c>
      <c r="C21" s="1">
        <v>42938</v>
      </c>
      <c r="D21" s="1">
        <v>42917</v>
      </c>
      <c r="E21" t="s">
        <v>43</v>
      </c>
      <c r="F21" t="s">
        <v>164</v>
      </c>
      <c r="G21" t="s">
        <v>165</v>
      </c>
      <c r="H21" t="s">
        <v>34</v>
      </c>
      <c r="I21" t="s">
        <v>23</v>
      </c>
      <c r="J21" t="s">
        <v>35</v>
      </c>
      <c r="K21" t="s">
        <v>36</v>
      </c>
      <c r="L21">
        <v>90049</v>
      </c>
      <c r="M21" t="s">
        <v>37</v>
      </c>
      <c r="N21" t="s">
        <v>166</v>
      </c>
      <c r="O21" t="s">
        <v>39</v>
      </c>
      <c r="P21" t="s">
        <v>89</v>
      </c>
      <c r="Q21" t="s">
        <v>167</v>
      </c>
      <c r="R21">
        <v>7788</v>
      </c>
    </row>
    <row r="22" spans="1:18" x14ac:dyDescent="0.3">
      <c r="A22" t="s">
        <v>168</v>
      </c>
      <c r="B22" s="1">
        <v>43362</v>
      </c>
      <c r="C22" s="1">
        <v>43366</v>
      </c>
      <c r="D22" s="1">
        <v>43344</v>
      </c>
      <c r="E22" t="s">
        <v>43</v>
      </c>
      <c r="F22" t="s">
        <v>169</v>
      </c>
      <c r="G22" t="s">
        <v>170</v>
      </c>
      <c r="H22" t="s">
        <v>34</v>
      </c>
      <c r="I22" t="s">
        <v>23</v>
      </c>
      <c r="J22" t="s">
        <v>171</v>
      </c>
      <c r="K22" t="s">
        <v>47</v>
      </c>
      <c r="L22">
        <v>32935</v>
      </c>
      <c r="M22" t="s">
        <v>26</v>
      </c>
      <c r="N22" t="s">
        <v>172</v>
      </c>
      <c r="O22" t="s">
        <v>39</v>
      </c>
      <c r="P22" t="s">
        <v>89</v>
      </c>
      <c r="Q22" t="s">
        <v>173</v>
      </c>
      <c r="R22">
        <v>95616</v>
      </c>
    </row>
    <row r="23" spans="1:18" x14ac:dyDescent="0.3">
      <c r="A23" t="s">
        <v>174</v>
      </c>
      <c r="B23" s="1">
        <v>42805</v>
      </c>
      <c r="C23" s="1">
        <v>42807</v>
      </c>
      <c r="D23" s="1">
        <v>42795</v>
      </c>
      <c r="E23" t="s">
        <v>142</v>
      </c>
      <c r="F23" t="s">
        <v>175</v>
      </c>
      <c r="G23" t="s">
        <v>176</v>
      </c>
      <c r="H23" t="s">
        <v>34</v>
      </c>
      <c r="I23" t="s">
        <v>23</v>
      </c>
      <c r="J23" t="s">
        <v>177</v>
      </c>
      <c r="K23" t="s">
        <v>178</v>
      </c>
      <c r="L23">
        <v>55122</v>
      </c>
      <c r="M23" t="s">
        <v>79</v>
      </c>
      <c r="N23" t="s">
        <v>179</v>
      </c>
      <c r="O23" t="s">
        <v>147</v>
      </c>
      <c r="P23" t="s">
        <v>180</v>
      </c>
      <c r="Q23" t="s">
        <v>181</v>
      </c>
      <c r="R23">
        <v>4598</v>
      </c>
    </row>
    <row r="24" spans="1:18" x14ac:dyDescent="0.3">
      <c r="A24" t="s">
        <v>182</v>
      </c>
      <c r="B24" s="1">
        <v>42297</v>
      </c>
      <c r="C24" s="1">
        <v>42302</v>
      </c>
      <c r="D24" s="1">
        <v>42278</v>
      </c>
      <c r="E24" t="s">
        <v>19</v>
      </c>
      <c r="F24" t="s">
        <v>183</v>
      </c>
      <c r="G24" t="s">
        <v>184</v>
      </c>
      <c r="H24" t="s">
        <v>22</v>
      </c>
      <c r="I24" t="s">
        <v>23</v>
      </c>
      <c r="J24" t="s">
        <v>185</v>
      </c>
      <c r="K24" t="s">
        <v>186</v>
      </c>
      <c r="L24">
        <v>48185</v>
      </c>
      <c r="M24" t="s">
        <v>79</v>
      </c>
      <c r="N24" t="s">
        <v>187</v>
      </c>
      <c r="O24" t="s">
        <v>39</v>
      </c>
      <c r="P24" t="s">
        <v>89</v>
      </c>
      <c r="Q24" t="s">
        <v>188</v>
      </c>
      <c r="R24">
        <v>21196</v>
      </c>
    </row>
    <row r="25" spans="1:18" x14ac:dyDescent="0.3">
      <c r="A25" t="s">
        <v>189</v>
      </c>
      <c r="B25" s="1">
        <v>42906</v>
      </c>
      <c r="C25" s="1">
        <v>42911</v>
      </c>
      <c r="D25" s="1">
        <v>42887</v>
      </c>
      <c r="E25" t="s">
        <v>43</v>
      </c>
      <c r="F25" t="s">
        <v>190</v>
      </c>
      <c r="G25" t="s">
        <v>191</v>
      </c>
      <c r="H25" t="s">
        <v>22</v>
      </c>
      <c r="I25" t="s">
        <v>23</v>
      </c>
      <c r="J25" t="s">
        <v>192</v>
      </c>
      <c r="K25" t="s">
        <v>193</v>
      </c>
      <c r="L25">
        <v>19901</v>
      </c>
      <c r="M25" t="s">
        <v>117</v>
      </c>
      <c r="N25" t="s">
        <v>194</v>
      </c>
      <c r="O25" t="s">
        <v>147</v>
      </c>
      <c r="P25" t="s">
        <v>180</v>
      </c>
      <c r="Q25" t="s">
        <v>195</v>
      </c>
      <c r="R25">
        <v>45</v>
      </c>
    </row>
    <row r="26" spans="1:18" x14ac:dyDescent="0.3">
      <c r="A26" t="s">
        <v>196</v>
      </c>
      <c r="B26" s="1">
        <v>42478</v>
      </c>
      <c r="C26" s="1">
        <v>42482</v>
      </c>
      <c r="D26" s="1">
        <v>42461</v>
      </c>
      <c r="E26" t="s">
        <v>43</v>
      </c>
      <c r="F26" t="s">
        <v>197</v>
      </c>
      <c r="G26" t="s">
        <v>198</v>
      </c>
      <c r="H26" t="s">
        <v>22</v>
      </c>
      <c r="I26" t="s">
        <v>23</v>
      </c>
      <c r="J26" t="s">
        <v>199</v>
      </c>
      <c r="K26" t="s">
        <v>200</v>
      </c>
      <c r="L26">
        <v>47150</v>
      </c>
      <c r="M26" t="s">
        <v>79</v>
      </c>
      <c r="N26" t="s">
        <v>201</v>
      </c>
      <c r="O26" t="s">
        <v>39</v>
      </c>
      <c r="P26" t="s">
        <v>71</v>
      </c>
      <c r="Q26" t="s">
        <v>202</v>
      </c>
      <c r="R26">
        <v>3822</v>
      </c>
    </row>
    <row r="27" spans="1:18" x14ac:dyDescent="0.3">
      <c r="A27" t="s">
        <v>203</v>
      </c>
      <c r="B27" s="1">
        <v>43080</v>
      </c>
      <c r="C27" s="1">
        <v>43086</v>
      </c>
      <c r="D27" s="1">
        <v>43070</v>
      </c>
      <c r="E27" t="s">
        <v>43</v>
      </c>
      <c r="F27" t="s">
        <v>204</v>
      </c>
      <c r="G27" t="s">
        <v>205</v>
      </c>
      <c r="H27" t="s">
        <v>34</v>
      </c>
      <c r="I27" t="s">
        <v>23</v>
      </c>
      <c r="J27" t="s">
        <v>206</v>
      </c>
      <c r="K27" t="s">
        <v>207</v>
      </c>
      <c r="L27">
        <v>10024</v>
      </c>
      <c r="M27" t="s">
        <v>117</v>
      </c>
      <c r="N27" t="s">
        <v>208</v>
      </c>
      <c r="O27" t="s">
        <v>39</v>
      </c>
      <c r="P27" t="s">
        <v>209</v>
      </c>
      <c r="Q27" t="s">
        <v>210</v>
      </c>
      <c r="R27">
        <v>1526</v>
      </c>
    </row>
    <row r="28" spans="1:18" x14ac:dyDescent="0.3">
      <c r="A28" t="s">
        <v>211</v>
      </c>
      <c r="B28" s="1">
        <v>42903</v>
      </c>
      <c r="C28" s="1">
        <v>42904</v>
      </c>
      <c r="D28" s="1">
        <v>42887</v>
      </c>
      <c r="E28" t="s">
        <v>142</v>
      </c>
      <c r="F28" t="s">
        <v>212</v>
      </c>
      <c r="G28" t="s">
        <v>213</v>
      </c>
      <c r="H28" t="s">
        <v>22</v>
      </c>
      <c r="I28" t="s">
        <v>23</v>
      </c>
      <c r="J28" t="s">
        <v>214</v>
      </c>
      <c r="K28" t="s">
        <v>207</v>
      </c>
      <c r="L28">
        <v>12180</v>
      </c>
      <c r="M28" t="s">
        <v>117</v>
      </c>
      <c r="N28" t="s">
        <v>215</v>
      </c>
      <c r="O28" t="s">
        <v>39</v>
      </c>
      <c r="P28" t="s">
        <v>89</v>
      </c>
      <c r="Q28" t="s">
        <v>216</v>
      </c>
      <c r="R28">
        <v>20856</v>
      </c>
    </row>
    <row r="29" spans="1:18" x14ac:dyDescent="0.3">
      <c r="A29" t="s">
        <v>217</v>
      </c>
      <c r="B29" s="1">
        <v>42698</v>
      </c>
      <c r="C29" s="1">
        <v>42704</v>
      </c>
      <c r="D29" s="1">
        <v>42675</v>
      </c>
      <c r="E29" t="s">
        <v>43</v>
      </c>
      <c r="F29" t="s">
        <v>218</v>
      </c>
      <c r="G29" t="s">
        <v>219</v>
      </c>
      <c r="H29" t="s">
        <v>22</v>
      </c>
      <c r="I29" t="s">
        <v>23</v>
      </c>
      <c r="J29" t="s">
        <v>35</v>
      </c>
      <c r="K29" t="s">
        <v>36</v>
      </c>
      <c r="L29">
        <v>90004</v>
      </c>
      <c r="M29" t="s">
        <v>37</v>
      </c>
      <c r="N29" t="s">
        <v>220</v>
      </c>
      <c r="O29" t="s">
        <v>147</v>
      </c>
      <c r="P29" t="s">
        <v>180</v>
      </c>
      <c r="Q29" t="s">
        <v>221</v>
      </c>
      <c r="R29">
        <v>1398</v>
      </c>
    </row>
    <row r="30" spans="1:18" x14ac:dyDescent="0.3">
      <c r="A30" t="s">
        <v>222</v>
      </c>
      <c r="B30" s="1">
        <v>42490</v>
      </c>
      <c r="C30" s="1">
        <v>42495</v>
      </c>
      <c r="D30" s="1">
        <v>42461</v>
      </c>
      <c r="E30" t="s">
        <v>43</v>
      </c>
      <c r="F30" t="s">
        <v>223</v>
      </c>
      <c r="G30" t="s">
        <v>224</v>
      </c>
      <c r="H30" t="s">
        <v>76</v>
      </c>
      <c r="I30" t="s">
        <v>23</v>
      </c>
      <c r="J30" t="s">
        <v>225</v>
      </c>
      <c r="K30" t="s">
        <v>160</v>
      </c>
      <c r="L30">
        <v>60610</v>
      </c>
      <c r="M30" t="s">
        <v>79</v>
      </c>
      <c r="N30" t="s">
        <v>226</v>
      </c>
      <c r="O30" t="s">
        <v>28</v>
      </c>
      <c r="P30" t="s">
        <v>119</v>
      </c>
      <c r="Q30" t="s">
        <v>227</v>
      </c>
      <c r="R30">
        <v>213115</v>
      </c>
    </row>
    <row r="31" spans="1:18" x14ac:dyDescent="0.3">
      <c r="A31" t="s">
        <v>228</v>
      </c>
      <c r="B31" s="1">
        <v>42343</v>
      </c>
      <c r="C31" s="1">
        <v>42348</v>
      </c>
      <c r="D31" s="1">
        <v>42339</v>
      </c>
      <c r="E31" t="s">
        <v>43</v>
      </c>
      <c r="F31" t="s">
        <v>229</v>
      </c>
      <c r="G31" t="s">
        <v>230</v>
      </c>
      <c r="H31" t="s">
        <v>34</v>
      </c>
      <c r="I31" t="s">
        <v>23</v>
      </c>
      <c r="J31" t="s">
        <v>231</v>
      </c>
      <c r="K31" t="s">
        <v>232</v>
      </c>
      <c r="L31">
        <v>85234</v>
      </c>
      <c r="M31" t="s">
        <v>37</v>
      </c>
      <c r="N31" t="s">
        <v>233</v>
      </c>
      <c r="O31" t="s">
        <v>39</v>
      </c>
      <c r="P31" t="s">
        <v>103</v>
      </c>
      <c r="Q31" t="s">
        <v>234</v>
      </c>
      <c r="R31">
        <v>1113024</v>
      </c>
    </row>
    <row r="32" spans="1:18" x14ac:dyDescent="0.3">
      <c r="A32" t="s">
        <v>235</v>
      </c>
      <c r="B32" s="1">
        <v>42890</v>
      </c>
      <c r="C32" s="1">
        <v>42892</v>
      </c>
      <c r="D32" s="1">
        <v>42887</v>
      </c>
      <c r="E32" t="s">
        <v>142</v>
      </c>
      <c r="F32" t="s">
        <v>236</v>
      </c>
      <c r="G32" t="s">
        <v>237</v>
      </c>
      <c r="H32" t="s">
        <v>22</v>
      </c>
      <c r="I32" t="s">
        <v>23</v>
      </c>
      <c r="J32" t="s">
        <v>238</v>
      </c>
      <c r="K32" t="s">
        <v>239</v>
      </c>
      <c r="L32">
        <v>22153</v>
      </c>
      <c r="M32" t="s">
        <v>26</v>
      </c>
      <c r="N32" t="s">
        <v>240</v>
      </c>
      <c r="O32" t="s">
        <v>39</v>
      </c>
      <c r="P32" t="s">
        <v>63</v>
      </c>
      <c r="Q32" t="s">
        <v>241</v>
      </c>
      <c r="R32">
        <v>7588</v>
      </c>
    </row>
    <row r="33" spans="1:18" x14ac:dyDescent="0.3">
      <c r="A33" t="s">
        <v>242</v>
      </c>
      <c r="B33" s="1">
        <v>42996</v>
      </c>
      <c r="C33" s="1">
        <v>43001</v>
      </c>
      <c r="D33" s="1">
        <v>42979</v>
      </c>
      <c r="E33" t="s">
        <v>43</v>
      </c>
      <c r="F33" t="s">
        <v>243</v>
      </c>
      <c r="G33" t="s">
        <v>244</v>
      </c>
      <c r="H33" t="s">
        <v>22</v>
      </c>
      <c r="I33" t="s">
        <v>23</v>
      </c>
      <c r="J33" t="s">
        <v>206</v>
      </c>
      <c r="K33" t="s">
        <v>207</v>
      </c>
      <c r="L33">
        <v>10009</v>
      </c>
      <c r="M33" t="s">
        <v>117</v>
      </c>
      <c r="N33" t="s">
        <v>245</v>
      </c>
      <c r="O33" t="s">
        <v>39</v>
      </c>
      <c r="P33" t="s">
        <v>71</v>
      </c>
      <c r="Q33" t="s">
        <v>246</v>
      </c>
      <c r="R33">
        <v>4616</v>
      </c>
    </row>
    <row r="34" spans="1:18" x14ac:dyDescent="0.3">
      <c r="A34" t="s">
        <v>247</v>
      </c>
      <c r="B34" s="1">
        <v>43357</v>
      </c>
      <c r="C34" s="1">
        <v>43360</v>
      </c>
      <c r="D34" s="1">
        <v>43344</v>
      </c>
      <c r="E34" t="s">
        <v>19</v>
      </c>
      <c r="F34" t="s">
        <v>131</v>
      </c>
      <c r="G34" t="s">
        <v>132</v>
      </c>
      <c r="H34" t="s">
        <v>22</v>
      </c>
      <c r="I34" t="s">
        <v>23</v>
      </c>
      <c r="J34" t="s">
        <v>248</v>
      </c>
      <c r="K34" t="s">
        <v>186</v>
      </c>
      <c r="L34">
        <v>49201</v>
      </c>
      <c r="M34" t="s">
        <v>79</v>
      </c>
      <c r="N34" t="s">
        <v>249</v>
      </c>
      <c r="O34" t="s">
        <v>39</v>
      </c>
      <c r="P34" t="s">
        <v>63</v>
      </c>
      <c r="Q34" t="s">
        <v>250</v>
      </c>
      <c r="R34">
        <v>1905</v>
      </c>
    </row>
    <row r="35" spans="1:18" x14ac:dyDescent="0.3">
      <c r="A35" t="s">
        <v>251</v>
      </c>
      <c r="B35" s="1">
        <v>42486</v>
      </c>
      <c r="C35" s="1">
        <v>42492</v>
      </c>
      <c r="D35" s="1">
        <v>42461</v>
      </c>
      <c r="E35" t="s">
        <v>43</v>
      </c>
      <c r="F35" t="s">
        <v>252</v>
      </c>
      <c r="G35" t="s">
        <v>253</v>
      </c>
      <c r="H35" t="s">
        <v>22</v>
      </c>
      <c r="I35" t="s">
        <v>23</v>
      </c>
      <c r="J35" t="s">
        <v>254</v>
      </c>
      <c r="K35" t="s">
        <v>255</v>
      </c>
      <c r="L35">
        <v>38109</v>
      </c>
      <c r="M35" t="s">
        <v>26</v>
      </c>
      <c r="N35" t="s">
        <v>256</v>
      </c>
      <c r="O35" t="s">
        <v>28</v>
      </c>
      <c r="P35" t="s">
        <v>119</v>
      </c>
      <c r="Q35" t="s">
        <v>257</v>
      </c>
      <c r="R35">
        <v>831936</v>
      </c>
    </row>
    <row r="36" spans="1:18" x14ac:dyDescent="0.3">
      <c r="A36" t="s">
        <v>258</v>
      </c>
      <c r="B36" s="1">
        <v>43443</v>
      </c>
      <c r="C36" s="1">
        <v>43445</v>
      </c>
      <c r="D36" s="1">
        <v>43435</v>
      </c>
      <c r="E36" t="s">
        <v>142</v>
      </c>
      <c r="F36" t="s">
        <v>259</v>
      </c>
      <c r="G36" t="s">
        <v>260</v>
      </c>
      <c r="H36" t="s">
        <v>34</v>
      </c>
      <c r="I36" t="s">
        <v>23</v>
      </c>
      <c r="J36" t="s">
        <v>138</v>
      </c>
      <c r="K36" t="s">
        <v>78</v>
      </c>
      <c r="L36">
        <v>77041</v>
      </c>
      <c r="M36" t="s">
        <v>79</v>
      </c>
      <c r="N36" t="s">
        <v>261</v>
      </c>
      <c r="O36" t="s">
        <v>39</v>
      </c>
      <c r="P36" t="s">
        <v>71</v>
      </c>
      <c r="Q36" t="s">
        <v>262</v>
      </c>
      <c r="R36">
        <v>1248</v>
      </c>
    </row>
    <row r="37" spans="1:18" x14ac:dyDescent="0.3">
      <c r="A37" t="s">
        <v>263</v>
      </c>
      <c r="B37" s="1">
        <v>42334</v>
      </c>
      <c r="C37" s="1">
        <v>42339</v>
      </c>
      <c r="D37" s="1">
        <v>42309</v>
      </c>
      <c r="E37" t="s">
        <v>19</v>
      </c>
      <c r="F37" t="s">
        <v>252</v>
      </c>
      <c r="G37" t="s">
        <v>253</v>
      </c>
      <c r="H37" t="s">
        <v>22</v>
      </c>
      <c r="I37" t="s">
        <v>23</v>
      </c>
      <c r="J37" t="s">
        <v>138</v>
      </c>
      <c r="K37" t="s">
        <v>78</v>
      </c>
      <c r="L37">
        <v>77070</v>
      </c>
      <c r="M37" t="s">
        <v>79</v>
      </c>
      <c r="N37" t="s">
        <v>264</v>
      </c>
      <c r="O37" t="s">
        <v>28</v>
      </c>
      <c r="P37" t="s">
        <v>55</v>
      </c>
      <c r="Q37" t="s">
        <v>265</v>
      </c>
      <c r="R37">
        <v>193</v>
      </c>
    </row>
    <row r="38" spans="1:18" x14ac:dyDescent="0.3">
      <c r="A38" t="s">
        <v>266</v>
      </c>
      <c r="B38" s="1">
        <v>42289</v>
      </c>
      <c r="C38" s="1">
        <v>42293</v>
      </c>
      <c r="D38" s="1">
        <v>42278</v>
      </c>
      <c r="E38" t="s">
        <v>43</v>
      </c>
      <c r="F38" t="s">
        <v>267</v>
      </c>
      <c r="G38" t="s">
        <v>268</v>
      </c>
      <c r="H38" t="s">
        <v>22</v>
      </c>
      <c r="I38" t="s">
        <v>23</v>
      </c>
      <c r="J38" t="s">
        <v>101</v>
      </c>
      <c r="K38" t="s">
        <v>36</v>
      </c>
      <c r="L38">
        <v>94122</v>
      </c>
      <c r="M38" t="s">
        <v>37</v>
      </c>
      <c r="N38" t="s">
        <v>269</v>
      </c>
      <c r="O38" t="s">
        <v>39</v>
      </c>
      <c r="P38" t="s">
        <v>103</v>
      </c>
      <c r="Q38" t="s">
        <v>270</v>
      </c>
      <c r="R38">
        <v>149</v>
      </c>
    </row>
    <row r="39" spans="1:18" x14ac:dyDescent="0.3">
      <c r="A39" t="s">
        <v>271</v>
      </c>
      <c r="B39" s="1">
        <v>42616</v>
      </c>
      <c r="C39" s="1">
        <v>42621</v>
      </c>
      <c r="D39" s="1">
        <v>42614</v>
      </c>
      <c r="E39" t="s">
        <v>43</v>
      </c>
      <c r="F39" t="s">
        <v>272</v>
      </c>
      <c r="G39" t="s">
        <v>273</v>
      </c>
      <c r="H39" t="s">
        <v>34</v>
      </c>
      <c r="I39" t="s">
        <v>23</v>
      </c>
      <c r="J39" t="s">
        <v>274</v>
      </c>
      <c r="K39" t="s">
        <v>61</v>
      </c>
      <c r="L39">
        <v>27707</v>
      </c>
      <c r="M39" t="s">
        <v>26</v>
      </c>
      <c r="N39" t="s">
        <v>275</v>
      </c>
      <c r="O39" t="s">
        <v>39</v>
      </c>
      <c r="P39" t="s">
        <v>154</v>
      </c>
      <c r="Q39" t="s">
        <v>276</v>
      </c>
      <c r="R39">
        <v>200984</v>
      </c>
    </row>
    <row r="40" spans="1:18" x14ac:dyDescent="0.3">
      <c r="A40" t="s">
        <v>277</v>
      </c>
      <c r="B40" s="1">
        <v>43417</v>
      </c>
      <c r="C40" s="1">
        <v>43420</v>
      </c>
      <c r="D40" s="1">
        <v>43405</v>
      </c>
      <c r="E40" t="s">
        <v>142</v>
      </c>
      <c r="F40" t="s">
        <v>278</v>
      </c>
      <c r="G40" t="s">
        <v>279</v>
      </c>
      <c r="H40" t="s">
        <v>76</v>
      </c>
      <c r="I40" t="s">
        <v>23</v>
      </c>
      <c r="J40" t="s">
        <v>225</v>
      </c>
      <c r="K40" t="s">
        <v>160</v>
      </c>
      <c r="L40">
        <v>60623</v>
      </c>
      <c r="M40" t="s">
        <v>79</v>
      </c>
      <c r="N40" t="s">
        <v>280</v>
      </c>
      <c r="O40" t="s">
        <v>39</v>
      </c>
      <c r="P40" t="s">
        <v>89</v>
      </c>
      <c r="Q40" t="s">
        <v>281</v>
      </c>
      <c r="R40">
        <v>230376</v>
      </c>
    </row>
    <row r="41" spans="1:18" x14ac:dyDescent="0.3">
      <c r="A41" t="s">
        <v>282</v>
      </c>
      <c r="B41" s="1">
        <v>43248</v>
      </c>
      <c r="C41" s="1">
        <v>43250</v>
      </c>
      <c r="D41" s="1">
        <v>43221</v>
      </c>
      <c r="E41" t="s">
        <v>19</v>
      </c>
      <c r="F41" t="s">
        <v>183</v>
      </c>
      <c r="G41" t="s">
        <v>184</v>
      </c>
      <c r="H41" t="s">
        <v>22</v>
      </c>
      <c r="I41" t="s">
        <v>23</v>
      </c>
      <c r="J41" t="s">
        <v>283</v>
      </c>
      <c r="K41" t="s">
        <v>284</v>
      </c>
      <c r="L41">
        <v>29203</v>
      </c>
      <c r="M41" t="s">
        <v>26</v>
      </c>
      <c r="N41" t="s">
        <v>285</v>
      </c>
      <c r="O41" t="s">
        <v>28</v>
      </c>
      <c r="P41" t="s">
        <v>119</v>
      </c>
      <c r="Q41" t="s">
        <v>286</v>
      </c>
      <c r="R41">
        <v>30196</v>
      </c>
    </row>
    <row r="42" spans="1:18" x14ac:dyDescent="0.3">
      <c r="A42" t="s">
        <v>287</v>
      </c>
      <c r="B42" s="1">
        <v>43399</v>
      </c>
      <c r="C42" s="1">
        <v>43406</v>
      </c>
      <c r="D42" s="1">
        <v>43374</v>
      </c>
      <c r="E42" t="s">
        <v>43</v>
      </c>
      <c r="F42" t="s">
        <v>288</v>
      </c>
      <c r="G42" t="s">
        <v>289</v>
      </c>
      <c r="H42" t="s">
        <v>22</v>
      </c>
      <c r="I42" t="s">
        <v>23</v>
      </c>
      <c r="J42" t="s">
        <v>290</v>
      </c>
      <c r="K42" t="s">
        <v>178</v>
      </c>
      <c r="L42">
        <v>55901</v>
      </c>
      <c r="M42" t="s">
        <v>79</v>
      </c>
      <c r="N42" t="s">
        <v>291</v>
      </c>
      <c r="O42" t="s">
        <v>147</v>
      </c>
      <c r="P42" t="s">
        <v>180</v>
      </c>
      <c r="Q42" t="s">
        <v>292</v>
      </c>
      <c r="R42">
        <v>1999</v>
      </c>
    </row>
    <row r="43" spans="1:18" x14ac:dyDescent="0.3">
      <c r="A43" t="s">
        <v>293</v>
      </c>
      <c r="B43" s="1">
        <v>42830</v>
      </c>
      <c r="C43" s="1">
        <v>42835</v>
      </c>
      <c r="D43" s="1">
        <v>42826</v>
      </c>
      <c r="E43" t="s">
        <v>19</v>
      </c>
      <c r="F43" t="s">
        <v>294</v>
      </c>
      <c r="G43" t="s">
        <v>295</v>
      </c>
      <c r="H43" t="s">
        <v>76</v>
      </c>
      <c r="I43" t="s">
        <v>23</v>
      </c>
      <c r="J43" t="s">
        <v>138</v>
      </c>
      <c r="K43" t="s">
        <v>78</v>
      </c>
      <c r="L43">
        <v>77095</v>
      </c>
      <c r="M43" t="s">
        <v>79</v>
      </c>
      <c r="N43" t="s">
        <v>296</v>
      </c>
      <c r="O43" t="s">
        <v>39</v>
      </c>
      <c r="P43" t="s">
        <v>89</v>
      </c>
      <c r="Q43" t="s">
        <v>297</v>
      </c>
      <c r="R43">
        <v>158368</v>
      </c>
    </row>
    <row r="44" spans="1:18" x14ac:dyDescent="0.3">
      <c r="A44" t="s">
        <v>298</v>
      </c>
      <c r="B44" s="1">
        <v>42995</v>
      </c>
      <c r="C44" s="1">
        <v>43000</v>
      </c>
      <c r="D44" s="1">
        <v>42979</v>
      </c>
      <c r="E44" t="s">
        <v>43</v>
      </c>
      <c r="F44" t="s">
        <v>299</v>
      </c>
      <c r="G44" t="s">
        <v>300</v>
      </c>
      <c r="H44" t="s">
        <v>34</v>
      </c>
      <c r="I44" t="s">
        <v>23</v>
      </c>
      <c r="J44" t="s">
        <v>35</v>
      </c>
      <c r="K44" t="s">
        <v>36</v>
      </c>
      <c r="L44">
        <v>90036</v>
      </c>
      <c r="M44" t="s">
        <v>37</v>
      </c>
      <c r="N44" t="s">
        <v>301</v>
      </c>
      <c r="O44" t="s">
        <v>39</v>
      </c>
      <c r="P44" t="s">
        <v>103</v>
      </c>
      <c r="Q44" t="s">
        <v>302</v>
      </c>
      <c r="R44">
        <v>201</v>
      </c>
    </row>
    <row r="45" spans="1:18" x14ac:dyDescent="0.3">
      <c r="A45" t="s">
        <v>303</v>
      </c>
      <c r="B45" s="1">
        <v>42400</v>
      </c>
      <c r="C45" s="1">
        <v>42405</v>
      </c>
      <c r="D45" s="1">
        <v>42370</v>
      </c>
      <c r="E45" t="s">
        <v>19</v>
      </c>
      <c r="F45" t="s">
        <v>304</v>
      </c>
      <c r="G45" t="s">
        <v>305</v>
      </c>
      <c r="H45" t="s">
        <v>22</v>
      </c>
      <c r="I45" t="s">
        <v>23</v>
      </c>
      <c r="J45" t="s">
        <v>306</v>
      </c>
      <c r="K45" t="s">
        <v>178</v>
      </c>
      <c r="L45">
        <v>55407</v>
      </c>
      <c r="M45" t="s">
        <v>79</v>
      </c>
      <c r="N45" t="s">
        <v>307</v>
      </c>
      <c r="O45" t="s">
        <v>39</v>
      </c>
      <c r="P45" t="s">
        <v>63</v>
      </c>
      <c r="Q45" t="s">
        <v>308</v>
      </c>
      <c r="R45">
        <v>1296</v>
      </c>
    </row>
    <row r="46" spans="1:18" x14ac:dyDescent="0.3">
      <c r="A46" t="s">
        <v>309</v>
      </c>
      <c r="B46" s="1">
        <v>43410</v>
      </c>
      <c r="C46" s="1">
        <v>43416</v>
      </c>
      <c r="D46" s="1">
        <v>43405</v>
      </c>
      <c r="E46" t="s">
        <v>43</v>
      </c>
      <c r="F46" t="s">
        <v>310</v>
      </c>
      <c r="G46" t="s">
        <v>311</v>
      </c>
      <c r="H46" t="s">
        <v>76</v>
      </c>
      <c r="I46" t="s">
        <v>23</v>
      </c>
      <c r="J46" t="s">
        <v>312</v>
      </c>
      <c r="K46" t="s">
        <v>313</v>
      </c>
      <c r="L46">
        <v>97206</v>
      </c>
      <c r="M46" t="s">
        <v>37</v>
      </c>
      <c r="N46" t="s">
        <v>314</v>
      </c>
      <c r="O46" t="s">
        <v>39</v>
      </c>
      <c r="P46" t="s">
        <v>71</v>
      </c>
      <c r="Q46" t="s">
        <v>315</v>
      </c>
      <c r="R46">
        <v>5682</v>
      </c>
    </row>
    <row r="47" spans="1:18" x14ac:dyDescent="0.3">
      <c r="A47" t="s">
        <v>316</v>
      </c>
      <c r="B47" s="1">
        <v>43413</v>
      </c>
      <c r="C47" s="1">
        <v>43415</v>
      </c>
      <c r="D47" s="1">
        <v>43405</v>
      </c>
      <c r="E47" t="s">
        <v>19</v>
      </c>
      <c r="F47" t="s">
        <v>317</v>
      </c>
      <c r="G47" t="s">
        <v>318</v>
      </c>
      <c r="H47" t="s">
        <v>76</v>
      </c>
      <c r="I47" t="s">
        <v>23</v>
      </c>
      <c r="J47" t="s">
        <v>206</v>
      </c>
      <c r="K47" t="s">
        <v>207</v>
      </c>
      <c r="L47">
        <v>10009</v>
      </c>
      <c r="M47" t="s">
        <v>117</v>
      </c>
      <c r="N47" t="s">
        <v>319</v>
      </c>
      <c r="O47" t="s">
        <v>28</v>
      </c>
      <c r="P47" t="s">
        <v>55</v>
      </c>
      <c r="Q47" t="s">
        <v>320</v>
      </c>
      <c r="R47">
        <v>9653</v>
      </c>
    </row>
    <row r="48" spans="1:18" x14ac:dyDescent="0.3">
      <c r="A48" t="s">
        <v>321</v>
      </c>
      <c r="B48" s="1">
        <v>43268</v>
      </c>
      <c r="C48" s="1">
        <v>43271</v>
      </c>
      <c r="D48" s="1">
        <v>43252</v>
      </c>
      <c r="E48" t="s">
        <v>142</v>
      </c>
      <c r="F48" t="s">
        <v>322</v>
      </c>
      <c r="G48" t="s">
        <v>323</v>
      </c>
      <c r="H48" t="s">
        <v>22</v>
      </c>
      <c r="I48" t="s">
        <v>23</v>
      </c>
      <c r="J48" t="s">
        <v>101</v>
      </c>
      <c r="K48" t="s">
        <v>36</v>
      </c>
      <c r="L48">
        <v>94122</v>
      </c>
      <c r="M48" t="s">
        <v>37</v>
      </c>
      <c r="N48" t="s">
        <v>324</v>
      </c>
      <c r="O48" t="s">
        <v>39</v>
      </c>
      <c r="P48" t="s">
        <v>71</v>
      </c>
      <c r="Q48" t="s">
        <v>325</v>
      </c>
      <c r="R48">
        <v>51312</v>
      </c>
    </row>
    <row r="49" spans="1:18" x14ac:dyDescent="0.3">
      <c r="A49" t="s">
        <v>326</v>
      </c>
      <c r="B49" s="1">
        <v>42984</v>
      </c>
      <c r="C49" s="1">
        <v>42989</v>
      </c>
      <c r="D49" s="1">
        <v>42979</v>
      </c>
      <c r="E49" t="s">
        <v>43</v>
      </c>
      <c r="F49" t="s">
        <v>327</v>
      </c>
      <c r="G49" t="s">
        <v>328</v>
      </c>
      <c r="H49" t="s">
        <v>34</v>
      </c>
      <c r="I49" t="s">
        <v>23</v>
      </c>
      <c r="J49" t="s">
        <v>329</v>
      </c>
      <c r="K49" t="s">
        <v>178</v>
      </c>
      <c r="L49">
        <v>55106</v>
      </c>
      <c r="M49" t="s">
        <v>79</v>
      </c>
      <c r="N49" t="s">
        <v>330</v>
      </c>
      <c r="O49" t="s">
        <v>39</v>
      </c>
      <c r="P49" t="s">
        <v>81</v>
      </c>
      <c r="Q49" t="s">
        <v>331</v>
      </c>
      <c r="R49">
        <v>7788</v>
      </c>
    </row>
    <row r="50" spans="1:18" x14ac:dyDescent="0.3">
      <c r="A50" t="s">
        <v>332</v>
      </c>
      <c r="B50" s="1">
        <v>42976</v>
      </c>
      <c r="C50" s="1">
        <v>42980</v>
      </c>
      <c r="D50" s="1">
        <v>42948</v>
      </c>
      <c r="E50" t="s">
        <v>43</v>
      </c>
      <c r="F50" t="s">
        <v>333</v>
      </c>
      <c r="G50" t="s">
        <v>334</v>
      </c>
      <c r="H50" t="s">
        <v>76</v>
      </c>
      <c r="I50" t="s">
        <v>23</v>
      </c>
      <c r="J50" t="s">
        <v>225</v>
      </c>
      <c r="K50" t="s">
        <v>160</v>
      </c>
      <c r="L50">
        <v>60610</v>
      </c>
      <c r="M50" t="s">
        <v>79</v>
      </c>
      <c r="N50" t="s">
        <v>335</v>
      </c>
      <c r="O50" t="s">
        <v>39</v>
      </c>
      <c r="P50" t="s">
        <v>63</v>
      </c>
      <c r="Q50" t="s">
        <v>336</v>
      </c>
      <c r="R50">
        <v>64624</v>
      </c>
    </row>
    <row r="51" spans="1:18" x14ac:dyDescent="0.3">
      <c r="A51" t="s">
        <v>337</v>
      </c>
      <c r="B51" s="1">
        <v>43070</v>
      </c>
      <c r="C51" s="1">
        <v>43073</v>
      </c>
      <c r="D51" s="1">
        <v>43070</v>
      </c>
      <c r="E51" t="s">
        <v>19</v>
      </c>
      <c r="F51" t="s">
        <v>338</v>
      </c>
      <c r="G51" t="s">
        <v>339</v>
      </c>
      <c r="H51" t="s">
        <v>22</v>
      </c>
      <c r="I51" t="s">
        <v>23</v>
      </c>
      <c r="J51" t="s">
        <v>290</v>
      </c>
      <c r="K51" t="s">
        <v>178</v>
      </c>
      <c r="L51">
        <v>55901</v>
      </c>
      <c r="M51" t="s">
        <v>79</v>
      </c>
      <c r="N51" t="s">
        <v>340</v>
      </c>
      <c r="O51" t="s">
        <v>39</v>
      </c>
      <c r="P51" t="s">
        <v>63</v>
      </c>
      <c r="Q51" t="s">
        <v>341</v>
      </c>
      <c r="R51">
        <v>2392</v>
      </c>
    </row>
    <row r="52" spans="1:18" x14ac:dyDescent="0.3">
      <c r="A52" t="s">
        <v>342</v>
      </c>
      <c r="B52" s="1">
        <v>42687</v>
      </c>
      <c r="C52" s="1">
        <v>42691</v>
      </c>
      <c r="D52" s="1">
        <v>42675</v>
      </c>
      <c r="E52" t="s">
        <v>43</v>
      </c>
      <c r="F52" t="s">
        <v>343</v>
      </c>
      <c r="G52" t="s">
        <v>344</v>
      </c>
      <c r="H52" t="s">
        <v>22</v>
      </c>
      <c r="I52" t="s">
        <v>23</v>
      </c>
      <c r="J52" t="s">
        <v>345</v>
      </c>
      <c r="K52" t="s">
        <v>346</v>
      </c>
      <c r="L52">
        <v>80013</v>
      </c>
      <c r="M52" t="s">
        <v>37</v>
      </c>
      <c r="N52" t="s">
        <v>347</v>
      </c>
      <c r="O52" t="s">
        <v>147</v>
      </c>
      <c r="P52" t="s">
        <v>180</v>
      </c>
      <c r="Q52" t="s">
        <v>348</v>
      </c>
      <c r="R52">
        <v>238896</v>
      </c>
    </row>
    <row r="53" spans="1:18" x14ac:dyDescent="0.3">
      <c r="A53" t="s">
        <v>349</v>
      </c>
      <c r="B53" s="1">
        <v>43427</v>
      </c>
      <c r="C53" s="1">
        <v>43432</v>
      </c>
      <c r="D53" s="1">
        <v>43405</v>
      </c>
      <c r="E53" t="s">
        <v>43</v>
      </c>
      <c r="F53" t="s">
        <v>350</v>
      </c>
      <c r="G53" t="s">
        <v>351</v>
      </c>
      <c r="H53" t="s">
        <v>22</v>
      </c>
      <c r="I53" t="s">
        <v>23</v>
      </c>
      <c r="J53" t="s">
        <v>352</v>
      </c>
      <c r="K53" t="s">
        <v>61</v>
      </c>
      <c r="L53">
        <v>28205</v>
      </c>
      <c r="M53" t="s">
        <v>26</v>
      </c>
      <c r="N53" t="s">
        <v>353</v>
      </c>
      <c r="O53" t="s">
        <v>147</v>
      </c>
      <c r="P53" t="s">
        <v>180</v>
      </c>
      <c r="Q53" t="s">
        <v>354</v>
      </c>
      <c r="R53">
        <v>74112</v>
      </c>
    </row>
    <row r="54" spans="1:18" x14ac:dyDescent="0.3">
      <c r="A54" t="s">
        <v>355</v>
      </c>
      <c r="B54" s="1">
        <v>42658</v>
      </c>
      <c r="C54" s="1">
        <v>42663</v>
      </c>
      <c r="D54" s="1">
        <v>42644</v>
      </c>
      <c r="E54" t="s">
        <v>43</v>
      </c>
      <c r="F54" t="s">
        <v>356</v>
      </c>
      <c r="G54" t="s">
        <v>357</v>
      </c>
      <c r="H54" t="s">
        <v>76</v>
      </c>
      <c r="I54" t="s">
        <v>23</v>
      </c>
      <c r="J54" t="s">
        <v>358</v>
      </c>
      <c r="K54" t="s">
        <v>160</v>
      </c>
      <c r="L54">
        <v>60462</v>
      </c>
      <c r="M54" t="s">
        <v>79</v>
      </c>
      <c r="N54" t="s">
        <v>359</v>
      </c>
      <c r="O54" t="s">
        <v>147</v>
      </c>
      <c r="P54" t="s">
        <v>180</v>
      </c>
      <c r="Q54" t="s">
        <v>360</v>
      </c>
      <c r="R54">
        <v>33996</v>
      </c>
    </row>
    <row r="55" spans="1:18" x14ac:dyDescent="0.3">
      <c r="A55" t="s">
        <v>361</v>
      </c>
      <c r="B55" s="1">
        <v>43459</v>
      </c>
      <c r="C55" s="1">
        <v>43464</v>
      </c>
      <c r="D55" s="1">
        <v>43435</v>
      </c>
      <c r="E55" t="s">
        <v>43</v>
      </c>
      <c r="F55" t="s">
        <v>362</v>
      </c>
      <c r="G55" t="s">
        <v>363</v>
      </c>
      <c r="H55" t="s">
        <v>34</v>
      </c>
      <c r="I55" t="s">
        <v>23</v>
      </c>
      <c r="J55" t="s">
        <v>206</v>
      </c>
      <c r="K55" t="s">
        <v>207</v>
      </c>
      <c r="L55">
        <v>10035</v>
      </c>
      <c r="M55" t="s">
        <v>117</v>
      </c>
      <c r="N55" t="s">
        <v>364</v>
      </c>
      <c r="O55" t="s">
        <v>28</v>
      </c>
      <c r="P55" t="s">
        <v>55</v>
      </c>
      <c r="Q55" t="s">
        <v>365</v>
      </c>
      <c r="R55">
        <v>4196</v>
      </c>
    </row>
    <row r="56" spans="1:18" x14ac:dyDescent="0.3">
      <c r="A56" t="s">
        <v>366</v>
      </c>
      <c r="B56" s="1">
        <v>43042</v>
      </c>
      <c r="C56" s="1">
        <v>43049</v>
      </c>
      <c r="D56" s="1">
        <v>43040</v>
      </c>
      <c r="E56" t="s">
        <v>43</v>
      </c>
      <c r="F56" t="s">
        <v>367</v>
      </c>
      <c r="G56" t="s">
        <v>368</v>
      </c>
      <c r="H56" t="s">
        <v>22</v>
      </c>
      <c r="I56" t="s">
        <v>23</v>
      </c>
      <c r="J56" t="s">
        <v>369</v>
      </c>
      <c r="K56" t="s">
        <v>370</v>
      </c>
      <c r="L56">
        <v>50322</v>
      </c>
      <c r="M56" t="s">
        <v>79</v>
      </c>
      <c r="N56" t="s">
        <v>371</v>
      </c>
      <c r="O56" t="s">
        <v>39</v>
      </c>
      <c r="P56" t="s">
        <v>103</v>
      </c>
      <c r="Q56" t="s">
        <v>372</v>
      </c>
      <c r="R56">
        <v>7596</v>
      </c>
    </row>
    <row r="57" spans="1:18" x14ac:dyDescent="0.3">
      <c r="A57" t="s">
        <v>373</v>
      </c>
      <c r="B57" s="1">
        <v>42241</v>
      </c>
      <c r="C57" s="1">
        <v>42243</v>
      </c>
      <c r="D57" s="1">
        <v>42217</v>
      </c>
      <c r="E57" t="s">
        <v>19</v>
      </c>
      <c r="F57" t="s">
        <v>374</v>
      </c>
      <c r="G57" t="s">
        <v>375</v>
      </c>
      <c r="H57" t="s">
        <v>22</v>
      </c>
      <c r="I57" t="s">
        <v>23</v>
      </c>
      <c r="J57" t="s">
        <v>376</v>
      </c>
      <c r="K57" t="s">
        <v>377</v>
      </c>
      <c r="L57">
        <v>43229</v>
      </c>
      <c r="M57" t="s">
        <v>117</v>
      </c>
      <c r="N57" t="s">
        <v>378</v>
      </c>
      <c r="O57" t="s">
        <v>39</v>
      </c>
      <c r="P57" t="s">
        <v>209</v>
      </c>
      <c r="Q57" t="s">
        <v>379</v>
      </c>
      <c r="R57">
        <v>40096</v>
      </c>
    </row>
    <row r="58" spans="1:18" x14ac:dyDescent="0.3">
      <c r="A58" t="s">
        <v>380</v>
      </c>
      <c r="B58" s="1">
        <v>42431</v>
      </c>
      <c r="C58" s="1">
        <v>42435</v>
      </c>
      <c r="D58" s="1">
        <v>42430</v>
      </c>
      <c r="E58" t="s">
        <v>43</v>
      </c>
      <c r="F58" t="s">
        <v>381</v>
      </c>
      <c r="G58" t="s">
        <v>382</v>
      </c>
      <c r="H58" t="s">
        <v>22</v>
      </c>
      <c r="I58" t="s">
        <v>23</v>
      </c>
      <c r="J58" t="s">
        <v>68</v>
      </c>
      <c r="K58" t="s">
        <v>69</v>
      </c>
      <c r="L58">
        <v>98103</v>
      </c>
      <c r="M58" t="s">
        <v>37</v>
      </c>
      <c r="N58" t="s">
        <v>383</v>
      </c>
      <c r="O58" t="s">
        <v>28</v>
      </c>
      <c r="P58" t="s">
        <v>49</v>
      </c>
      <c r="Q58" t="s">
        <v>384</v>
      </c>
      <c r="R58">
        <v>78753</v>
      </c>
    </row>
    <row r="59" spans="1:18" x14ac:dyDescent="0.3">
      <c r="A59" t="s">
        <v>385</v>
      </c>
      <c r="B59" s="1">
        <v>42465</v>
      </c>
      <c r="C59" s="1">
        <v>42470</v>
      </c>
      <c r="D59" s="1">
        <v>42461</v>
      </c>
      <c r="E59" t="s">
        <v>43</v>
      </c>
      <c r="F59" t="s">
        <v>386</v>
      </c>
      <c r="G59" t="s">
        <v>387</v>
      </c>
      <c r="H59" t="s">
        <v>34</v>
      </c>
      <c r="I59" t="s">
        <v>23</v>
      </c>
      <c r="J59" t="s">
        <v>388</v>
      </c>
      <c r="K59" t="s">
        <v>255</v>
      </c>
      <c r="L59">
        <v>37620</v>
      </c>
      <c r="M59" t="s">
        <v>26</v>
      </c>
      <c r="N59" t="s">
        <v>389</v>
      </c>
      <c r="O59" t="s">
        <v>39</v>
      </c>
      <c r="P59" t="s">
        <v>71</v>
      </c>
      <c r="Q59" t="s">
        <v>390</v>
      </c>
      <c r="R59">
        <v>157794</v>
      </c>
    </row>
    <row r="60" spans="1:18" x14ac:dyDescent="0.3">
      <c r="A60" t="s">
        <v>391</v>
      </c>
      <c r="B60" s="1">
        <v>42364</v>
      </c>
      <c r="C60" s="1">
        <v>42366</v>
      </c>
      <c r="D60" s="1">
        <v>42339</v>
      </c>
      <c r="E60" t="s">
        <v>19</v>
      </c>
      <c r="F60" t="s">
        <v>392</v>
      </c>
      <c r="G60" t="s">
        <v>393</v>
      </c>
      <c r="H60" t="s">
        <v>76</v>
      </c>
      <c r="I60" t="s">
        <v>23</v>
      </c>
      <c r="J60" t="s">
        <v>138</v>
      </c>
      <c r="K60" t="s">
        <v>78</v>
      </c>
      <c r="L60">
        <v>77041</v>
      </c>
      <c r="M60" t="s">
        <v>79</v>
      </c>
      <c r="N60" t="s">
        <v>394</v>
      </c>
      <c r="O60" t="s">
        <v>28</v>
      </c>
      <c r="P60" t="s">
        <v>119</v>
      </c>
      <c r="Q60" t="s">
        <v>395</v>
      </c>
      <c r="R60">
        <v>600558</v>
      </c>
    </row>
    <row r="61" spans="1:18" x14ac:dyDescent="0.3">
      <c r="A61" t="s">
        <v>396</v>
      </c>
      <c r="B61" s="1">
        <v>42267</v>
      </c>
      <c r="C61" s="1">
        <v>42272</v>
      </c>
      <c r="D61" s="1">
        <v>42248</v>
      </c>
      <c r="E61" t="s">
        <v>43</v>
      </c>
      <c r="F61" t="s">
        <v>397</v>
      </c>
      <c r="G61" t="s">
        <v>398</v>
      </c>
      <c r="H61" t="s">
        <v>22</v>
      </c>
      <c r="I61" t="s">
        <v>23</v>
      </c>
      <c r="J61" t="s">
        <v>399</v>
      </c>
      <c r="K61" t="s">
        <v>160</v>
      </c>
      <c r="L61">
        <v>61701</v>
      </c>
      <c r="M61" t="s">
        <v>79</v>
      </c>
      <c r="N61" t="s">
        <v>400</v>
      </c>
      <c r="O61" t="s">
        <v>28</v>
      </c>
      <c r="P61" t="s">
        <v>49</v>
      </c>
      <c r="Q61" t="s">
        <v>401</v>
      </c>
      <c r="R61">
        <v>6177</v>
      </c>
    </row>
    <row r="62" spans="1:18" x14ac:dyDescent="0.3">
      <c r="A62" t="s">
        <v>402</v>
      </c>
      <c r="B62" s="1">
        <v>43409</v>
      </c>
      <c r="C62" s="1">
        <v>43416</v>
      </c>
      <c r="D62" s="1">
        <v>43405</v>
      </c>
      <c r="E62" t="s">
        <v>43</v>
      </c>
      <c r="F62" t="s">
        <v>403</v>
      </c>
      <c r="G62" t="s">
        <v>404</v>
      </c>
      <c r="H62" t="s">
        <v>22</v>
      </c>
      <c r="I62" t="s">
        <v>23</v>
      </c>
      <c r="J62" t="s">
        <v>405</v>
      </c>
      <c r="K62" t="s">
        <v>232</v>
      </c>
      <c r="L62">
        <v>85023</v>
      </c>
      <c r="M62" t="s">
        <v>37</v>
      </c>
      <c r="N62" t="s">
        <v>406</v>
      </c>
      <c r="O62" t="s">
        <v>39</v>
      </c>
      <c r="P62" t="s">
        <v>71</v>
      </c>
      <c r="Q62" t="s">
        <v>407</v>
      </c>
      <c r="R62">
        <v>2388</v>
      </c>
    </row>
    <row r="63" spans="1:18" x14ac:dyDescent="0.3">
      <c r="A63" t="s">
        <v>408</v>
      </c>
      <c r="B63" s="1">
        <v>43045</v>
      </c>
      <c r="C63" s="1">
        <v>43049</v>
      </c>
      <c r="D63" s="1">
        <v>43040</v>
      </c>
      <c r="E63" t="s">
        <v>19</v>
      </c>
      <c r="F63" t="s">
        <v>409</v>
      </c>
      <c r="G63" t="s">
        <v>410</v>
      </c>
      <c r="H63" t="s">
        <v>76</v>
      </c>
      <c r="I63" t="s">
        <v>23</v>
      </c>
      <c r="J63" t="s">
        <v>35</v>
      </c>
      <c r="K63" t="s">
        <v>36</v>
      </c>
      <c r="L63">
        <v>90004</v>
      </c>
      <c r="M63" t="s">
        <v>37</v>
      </c>
      <c r="N63" t="s">
        <v>226</v>
      </c>
      <c r="O63" t="s">
        <v>28</v>
      </c>
      <c r="P63" t="s">
        <v>119</v>
      </c>
      <c r="Q63" t="s">
        <v>411</v>
      </c>
      <c r="R63">
        <v>81424</v>
      </c>
    </row>
    <row r="64" spans="1:18" x14ac:dyDescent="0.3">
      <c r="A64" t="s">
        <v>412</v>
      </c>
      <c r="B64" s="1">
        <v>43133</v>
      </c>
      <c r="C64" s="1">
        <v>43136</v>
      </c>
      <c r="D64" s="1">
        <v>43132</v>
      </c>
      <c r="E64" t="s">
        <v>142</v>
      </c>
      <c r="F64" t="s">
        <v>413</v>
      </c>
      <c r="G64" t="s">
        <v>414</v>
      </c>
      <c r="H64" t="s">
        <v>34</v>
      </c>
      <c r="I64" t="s">
        <v>23</v>
      </c>
      <c r="J64" t="s">
        <v>376</v>
      </c>
      <c r="K64" t="s">
        <v>377</v>
      </c>
      <c r="L64">
        <v>43229</v>
      </c>
      <c r="M64" t="s">
        <v>117</v>
      </c>
      <c r="N64" t="s">
        <v>415</v>
      </c>
      <c r="O64" t="s">
        <v>147</v>
      </c>
      <c r="P64" t="s">
        <v>148</v>
      </c>
      <c r="Q64" t="s">
        <v>416</v>
      </c>
      <c r="R64">
        <v>5997</v>
      </c>
    </row>
    <row r="65" spans="1:18" x14ac:dyDescent="0.3">
      <c r="A65" t="s">
        <v>417</v>
      </c>
      <c r="B65" s="1">
        <v>43021</v>
      </c>
      <c r="C65" s="1">
        <v>43027</v>
      </c>
      <c r="D65" s="1">
        <v>43009</v>
      </c>
      <c r="E65" t="s">
        <v>43</v>
      </c>
      <c r="F65" t="s">
        <v>418</v>
      </c>
      <c r="G65" t="s">
        <v>419</v>
      </c>
      <c r="H65" t="s">
        <v>22</v>
      </c>
      <c r="I65" t="s">
        <v>23</v>
      </c>
      <c r="J65" t="s">
        <v>420</v>
      </c>
      <c r="K65" t="s">
        <v>36</v>
      </c>
      <c r="L65">
        <v>95661</v>
      </c>
      <c r="M65" t="s">
        <v>37</v>
      </c>
      <c r="N65" t="s">
        <v>421</v>
      </c>
      <c r="O65" t="s">
        <v>39</v>
      </c>
      <c r="P65" t="s">
        <v>63</v>
      </c>
      <c r="Q65" t="s">
        <v>422</v>
      </c>
      <c r="R65">
        <v>2004</v>
      </c>
    </row>
    <row r="66" spans="1:18" x14ac:dyDescent="0.3">
      <c r="A66" t="s">
        <v>423</v>
      </c>
      <c r="B66" s="1">
        <v>42983</v>
      </c>
      <c r="C66" s="1">
        <v>42985</v>
      </c>
      <c r="D66" s="1">
        <v>42979</v>
      </c>
      <c r="E66" t="s">
        <v>19</v>
      </c>
      <c r="F66" t="s">
        <v>424</v>
      </c>
      <c r="G66" t="s">
        <v>425</v>
      </c>
      <c r="H66" t="s">
        <v>34</v>
      </c>
      <c r="I66" t="s">
        <v>23</v>
      </c>
      <c r="J66" t="s">
        <v>115</v>
      </c>
      <c r="K66" t="s">
        <v>116</v>
      </c>
      <c r="L66">
        <v>19140</v>
      </c>
      <c r="M66" t="s">
        <v>117</v>
      </c>
      <c r="N66" t="s">
        <v>426</v>
      </c>
      <c r="O66" t="s">
        <v>28</v>
      </c>
      <c r="P66" t="s">
        <v>55</v>
      </c>
      <c r="Q66" t="s">
        <v>427</v>
      </c>
      <c r="R66">
        <v>828</v>
      </c>
    </row>
    <row r="67" spans="1:18" x14ac:dyDescent="0.3">
      <c r="A67" t="s">
        <v>428</v>
      </c>
      <c r="B67" s="1">
        <v>43361</v>
      </c>
      <c r="C67" s="1">
        <v>43366</v>
      </c>
      <c r="D67" s="1">
        <v>43344</v>
      </c>
      <c r="E67" t="s">
        <v>43</v>
      </c>
      <c r="F67" t="s">
        <v>429</v>
      </c>
      <c r="G67" t="s">
        <v>430</v>
      </c>
      <c r="H67" t="s">
        <v>34</v>
      </c>
      <c r="I67" t="s">
        <v>23</v>
      </c>
      <c r="J67" t="s">
        <v>101</v>
      </c>
      <c r="K67" t="s">
        <v>36</v>
      </c>
      <c r="L67">
        <v>94122</v>
      </c>
      <c r="M67" t="s">
        <v>37</v>
      </c>
      <c r="N67" t="s">
        <v>431</v>
      </c>
      <c r="O67" t="s">
        <v>39</v>
      </c>
      <c r="P67" t="s">
        <v>103</v>
      </c>
      <c r="Q67" t="s">
        <v>432</v>
      </c>
      <c r="R67">
        <v>882</v>
      </c>
    </row>
    <row r="68" spans="1:18" x14ac:dyDescent="0.3">
      <c r="A68" t="s">
        <v>433</v>
      </c>
      <c r="B68" s="1">
        <v>43456</v>
      </c>
      <c r="C68" s="1">
        <v>43461</v>
      </c>
      <c r="D68" s="1">
        <v>43435</v>
      </c>
      <c r="E68" t="s">
        <v>43</v>
      </c>
      <c r="F68" t="s">
        <v>434</v>
      </c>
      <c r="G68" t="s">
        <v>435</v>
      </c>
      <c r="H68" t="s">
        <v>22</v>
      </c>
      <c r="I68" t="s">
        <v>23</v>
      </c>
      <c r="J68" t="s">
        <v>436</v>
      </c>
      <c r="K68" t="s">
        <v>437</v>
      </c>
      <c r="L68">
        <v>64055</v>
      </c>
      <c r="M68" t="s">
        <v>79</v>
      </c>
      <c r="N68" t="s">
        <v>438</v>
      </c>
      <c r="O68" t="s">
        <v>39</v>
      </c>
      <c r="P68" t="s">
        <v>81</v>
      </c>
      <c r="Q68" t="s">
        <v>439</v>
      </c>
      <c r="R68">
        <v>83943</v>
      </c>
    </row>
    <row r="69" spans="1:18" x14ac:dyDescent="0.3">
      <c r="A69" t="s">
        <v>440</v>
      </c>
      <c r="B69" s="1">
        <v>42620</v>
      </c>
      <c r="C69" s="1">
        <v>42625</v>
      </c>
      <c r="D69" s="1">
        <v>42614</v>
      </c>
      <c r="E69" t="s">
        <v>43</v>
      </c>
      <c r="F69" t="s">
        <v>441</v>
      </c>
      <c r="G69" t="s">
        <v>442</v>
      </c>
      <c r="H69" t="s">
        <v>22</v>
      </c>
      <c r="I69" t="s">
        <v>23</v>
      </c>
      <c r="J69" t="s">
        <v>443</v>
      </c>
      <c r="K69" t="s">
        <v>36</v>
      </c>
      <c r="L69">
        <v>91104</v>
      </c>
      <c r="M69" t="s">
        <v>37</v>
      </c>
      <c r="N69" t="s">
        <v>280</v>
      </c>
      <c r="O69" t="s">
        <v>39</v>
      </c>
      <c r="P69" t="s">
        <v>89</v>
      </c>
      <c r="Q69" t="s">
        <v>281</v>
      </c>
      <c r="R69">
        <v>67193</v>
      </c>
    </row>
    <row r="70" spans="1:18" x14ac:dyDescent="0.3">
      <c r="A70" t="s">
        <v>444</v>
      </c>
      <c r="B70" s="1">
        <v>42299</v>
      </c>
      <c r="C70" s="1">
        <v>42305</v>
      </c>
      <c r="D70" s="1">
        <v>42278</v>
      </c>
      <c r="E70" t="s">
        <v>43</v>
      </c>
      <c r="F70" t="s">
        <v>445</v>
      </c>
      <c r="G70" t="s">
        <v>446</v>
      </c>
      <c r="H70" t="s">
        <v>76</v>
      </c>
      <c r="I70" t="s">
        <v>23</v>
      </c>
      <c r="J70" t="s">
        <v>447</v>
      </c>
      <c r="K70" t="s">
        <v>377</v>
      </c>
      <c r="L70">
        <v>43055</v>
      </c>
      <c r="M70" t="s">
        <v>117</v>
      </c>
      <c r="N70" t="s">
        <v>448</v>
      </c>
      <c r="O70" t="s">
        <v>28</v>
      </c>
      <c r="P70" t="s">
        <v>55</v>
      </c>
      <c r="Q70" t="s">
        <v>449</v>
      </c>
      <c r="R70">
        <v>93888</v>
      </c>
    </row>
    <row r="71" spans="1:18" x14ac:dyDescent="0.3">
      <c r="A71" t="s">
        <v>450</v>
      </c>
      <c r="B71" s="1">
        <v>42807</v>
      </c>
      <c r="C71" s="1">
        <v>42810</v>
      </c>
      <c r="D71" s="1">
        <v>42795</v>
      </c>
      <c r="E71" t="s">
        <v>142</v>
      </c>
      <c r="F71" t="s">
        <v>451</v>
      </c>
      <c r="G71" t="s">
        <v>452</v>
      </c>
      <c r="H71" t="s">
        <v>76</v>
      </c>
      <c r="I71" t="s">
        <v>23</v>
      </c>
      <c r="J71" t="s">
        <v>453</v>
      </c>
      <c r="K71" t="s">
        <v>232</v>
      </c>
      <c r="L71">
        <v>85254</v>
      </c>
      <c r="M71" t="s">
        <v>37</v>
      </c>
      <c r="N71" t="s">
        <v>454</v>
      </c>
      <c r="O71" t="s">
        <v>39</v>
      </c>
      <c r="P71" t="s">
        <v>81</v>
      </c>
      <c r="Q71" t="s">
        <v>455</v>
      </c>
      <c r="R71">
        <v>15792</v>
      </c>
    </row>
    <row r="72" spans="1:18" x14ac:dyDescent="0.3">
      <c r="A72" t="s">
        <v>456</v>
      </c>
      <c r="B72" s="1">
        <v>42521</v>
      </c>
      <c r="C72" s="1">
        <v>42523</v>
      </c>
      <c r="D72" s="1">
        <v>42491</v>
      </c>
      <c r="E72" t="s">
        <v>142</v>
      </c>
      <c r="F72" t="s">
        <v>457</v>
      </c>
      <c r="G72" t="s">
        <v>458</v>
      </c>
      <c r="H72" t="s">
        <v>34</v>
      </c>
      <c r="I72" t="s">
        <v>23</v>
      </c>
      <c r="J72" t="s">
        <v>459</v>
      </c>
      <c r="K72" t="s">
        <v>36</v>
      </c>
      <c r="L72">
        <v>95123</v>
      </c>
      <c r="M72" t="s">
        <v>37</v>
      </c>
      <c r="N72" t="s">
        <v>460</v>
      </c>
      <c r="O72" t="s">
        <v>39</v>
      </c>
      <c r="P72" t="s">
        <v>63</v>
      </c>
      <c r="Q72" t="s">
        <v>461</v>
      </c>
      <c r="R72">
        <v>5838</v>
      </c>
    </row>
    <row r="73" spans="1:18" x14ac:dyDescent="0.3">
      <c r="A73" t="s">
        <v>462</v>
      </c>
      <c r="B73" s="1">
        <v>42518</v>
      </c>
      <c r="C73" s="1">
        <v>42524</v>
      </c>
      <c r="D73" s="1">
        <v>42491</v>
      </c>
      <c r="E73" t="s">
        <v>43</v>
      </c>
      <c r="F73" t="s">
        <v>463</v>
      </c>
      <c r="G73" t="s">
        <v>464</v>
      </c>
      <c r="H73" t="s">
        <v>76</v>
      </c>
      <c r="I73" t="s">
        <v>23</v>
      </c>
      <c r="J73" t="s">
        <v>68</v>
      </c>
      <c r="K73" t="s">
        <v>69</v>
      </c>
      <c r="L73">
        <v>98105</v>
      </c>
      <c r="M73" t="s">
        <v>37</v>
      </c>
      <c r="N73" t="s">
        <v>465</v>
      </c>
      <c r="O73" t="s">
        <v>39</v>
      </c>
      <c r="P73" t="s">
        <v>103</v>
      </c>
      <c r="Q73" t="s">
        <v>466</v>
      </c>
      <c r="R73">
        <v>663</v>
      </c>
    </row>
    <row r="74" spans="1:18" x14ac:dyDescent="0.3">
      <c r="A74" t="s">
        <v>467</v>
      </c>
      <c r="B74" s="1">
        <v>42064</v>
      </c>
      <c r="C74" s="1">
        <v>42069</v>
      </c>
      <c r="D74" s="1">
        <v>42064</v>
      </c>
      <c r="E74" t="s">
        <v>19</v>
      </c>
      <c r="F74" t="s">
        <v>468</v>
      </c>
      <c r="G74" t="s">
        <v>469</v>
      </c>
      <c r="H74" t="s">
        <v>22</v>
      </c>
      <c r="I74" t="s">
        <v>23</v>
      </c>
      <c r="J74" t="s">
        <v>68</v>
      </c>
      <c r="K74" t="s">
        <v>69</v>
      </c>
      <c r="L74">
        <v>98115</v>
      </c>
      <c r="M74" t="s">
        <v>37</v>
      </c>
      <c r="N74" t="s">
        <v>394</v>
      </c>
      <c r="O74" t="s">
        <v>28</v>
      </c>
      <c r="P74" t="s">
        <v>119</v>
      </c>
      <c r="Q74" t="s">
        <v>395</v>
      </c>
      <c r="R74">
        <v>457568</v>
      </c>
    </row>
    <row r="75" spans="1:18" x14ac:dyDescent="0.3">
      <c r="A75" t="s">
        <v>470</v>
      </c>
      <c r="B75" s="1">
        <v>43059</v>
      </c>
      <c r="C75" s="1">
        <v>43063</v>
      </c>
      <c r="D75" s="1">
        <v>43040</v>
      </c>
      <c r="E75" t="s">
        <v>43</v>
      </c>
      <c r="F75" t="s">
        <v>471</v>
      </c>
      <c r="G75" t="s">
        <v>472</v>
      </c>
      <c r="H75" t="s">
        <v>22</v>
      </c>
      <c r="I75" t="s">
        <v>23</v>
      </c>
      <c r="J75" t="s">
        <v>473</v>
      </c>
      <c r="K75" t="s">
        <v>474</v>
      </c>
      <c r="L75">
        <v>73034</v>
      </c>
      <c r="M75" t="s">
        <v>79</v>
      </c>
      <c r="N75" t="s">
        <v>475</v>
      </c>
      <c r="O75" t="s">
        <v>39</v>
      </c>
      <c r="P75" t="s">
        <v>40</v>
      </c>
      <c r="Q75" t="s">
        <v>476</v>
      </c>
      <c r="R75">
        <v>1462</v>
      </c>
    </row>
    <row r="76" spans="1:18" x14ac:dyDescent="0.3">
      <c r="A76" t="s">
        <v>477</v>
      </c>
      <c r="B76" s="1">
        <v>42866</v>
      </c>
      <c r="C76" s="1">
        <v>42867</v>
      </c>
      <c r="D76" s="1">
        <v>42856</v>
      </c>
      <c r="E76" t="s">
        <v>142</v>
      </c>
      <c r="F76" t="s">
        <v>478</v>
      </c>
      <c r="G76" t="s">
        <v>479</v>
      </c>
      <c r="H76" t="s">
        <v>22</v>
      </c>
      <c r="I76" t="s">
        <v>23</v>
      </c>
      <c r="J76" t="s">
        <v>35</v>
      </c>
      <c r="K76" t="s">
        <v>36</v>
      </c>
      <c r="L76">
        <v>90045</v>
      </c>
      <c r="M76" t="s">
        <v>37</v>
      </c>
      <c r="N76" t="s">
        <v>480</v>
      </c>
      <c r="O76" t="s">
        <v>39</v>
      </c>
      <c r="P76" t="s">
        <v>63</v>
      </c>
      <c r="Q76" t="s">
        <v>481</v>
      </c>
      <c r="R76">
        <v>598</v>
      </c>
    </row>
    <row r="77" spans="1:18" x14ac:dyDescent="0.3">
      <c r="A77" t="s">
        <v>482</v>
      </c>
      <c r="B77" s="1">
        <v>42732</v>
      </c>
      <c r="C77" s="1">
        <v>42735</v>
      </c>
      <c r="D77" s="1">
        <v>42705</v>
      </c>
      <c r="E77" t="s">
        <v>19</v>
      </c>
      <c r="F77" t="s">
        <v>483</v>
      </c>
      <c r="G77" t="s">
        <v>484</v>
      </c>
      <c r="H77" t="s">
        <v>22</v>
      </c>
      <c r="I77" t="s">
        <v>23</v>
      </c>
      <c r="J77" t="s">
        <v>115</v>
      </c>
      <c r="K77" t="s">
        <v>116</v>
      </c>
      <c r="L77">
        <v>19134</v>
      </c>
      <c r="M77" t="s">
        <v>117</v>
      </c>
      <c r="N77" t="s">
        <v>485</v>
      </c>
      <c r="O77" t="s">
        <v>147</v>
      </c>
      <c r="P77" t="s">
        <v>180</v>
      </c>
      <c r="Q77" t="s">
        <v>486</v>
      </c>
      <c r="R77">
        <v>54384</v>
      </c>
    </row>
    <row r="78" spans="1:18" x14ac:dyDescent="0.3">
      <c r="A78" t="s">
        <v>487</v>
      </c>
      <c r="B78" s="1">
        <v>43055</v>
      </c>
      <c r="C78" s="1">
        <v>43059</v>
      </c>
      <c r="D78" s="1">
        <v>43040</v>
      </c>
      <c r="E78" t="s">
        <v>43</v>
      </c>
      <c r="F78" t="s">
        <v>488</v>
      </c>
      <c r="G78" t="s">
        <v>489</v>
      </c>
      <c r="H78" t="s">
        <v>22</v>
      </c>
      <c r="I78" t="s">
        <v>23</v>
      </c>
      <c r="J78" t="s">
        <v>490</v>
      </c>
      <c r="K78" t="s">
        <v>491</v>
      </c>
      <c r="L78">
        <v>88220</v>
      </c>
      <c r="M78" t="s">
        <v>37</v>
      </c>
      <c r="N78" t="s">
        <v>492</v>
      </c>
      <c r="O78" t="s">
        <v>39</v>
      </c>
      <c r="P78" t="s">
        <v>154</v>
      </c>
      <c r="Q78" t="s">
        <v>493</v>
      </c>
      <c r="R78">
        <v>284</v>
      </c>
    </row>
    <row r="79" spans="1:18" x14ac:dyDescent="0.3">
      <c r="A79" t="s">
        <v>494</v>
      </c>
      <c r="B79" s="1">
        <v>43046</v>
      </c>
      <c r="C79" s="1">
        <v>43050</v>
      </c>
      <c r="D79" s="1">
        <v>43040</v>
      </c>
      <c r="E79" t="s">
        <v>43</v>
      </c>
      <c r="F79" t="s">
        <v>495</v>
      </c>
      <c r="G79" t="s">
        <v>496</v>
      </c>
      <c r="H79" t="s">
        <v>22</v>
      </c>
      <c r="I79" t="s">
        <v>23</v>
      </c>
      <c r="J79" t="s">
        <v>68</v>
      </c>
      <c r="K79" t="s">
        <v>69</v>
      </c>
      <c r="L79">
        <v>98115</v>
      </c>
      <c r="M79" t="s">
        <v>37</v>
      </c>
      <c r="N79" t="s">
        <v>497</v>
      </c>
      <c r="O79" t="s">
        <v>39</v>
      </c>
      <c r="P79" t="s">
        <v>71</v>
      </c>
      <c r="Q79" t="s">
        <v>498</v>
      </c>
      <c r="R79">
        <v>2768</v>
      </c>
    </row>
    <row r="80" spans="1:18" x14ac:dyDescent="0.3">
      <c r="A80" t="s">
        <v>499</v>
      </c>
      <c r="B80" s="1">
        <v>42255</v>
      </c>
      <c r="C80" s="1">
        <v>42259</v>
      </c>
      <c r="D80" s="1">
        <v>42248</v>
      </c>
      <c r="E80" t="s">
        <v>43</v>
      </c>
      <c r="F80" t="s">
        <v>500</v>
      </c>
      <c r="G80" t="s">
        <v>501</v>
      </c>
      <c r="H80" t="s">
        <v>22</v>
      </c>
      <c r="I80" t="s">
        <v>23</v>
      </c>
      <c r="J80" t="s">
        <v>502</v>
      </c>
      <c r="K80" t="s">
        <v>78</v>
      </c>
      <c r="L80">
        <v>78207</v>
      </c>
      <c r="M80" t="s">
        <v>79</v>
      </c>
      <c r="N80" t="s">
        <v>503</v>
      </c>
      <c r="O80" t="s">
        <v>39</v>
      </c>
      <c r="P80" t="s">
        <v>103</v>
      </c>
      <c r="Q80" t="s">
        <v>504</v>
      </c>
      <c r="R80">
        <v>9936</v>
      </c>
    </row>
    <row r="81" spans="1:18" x14ac:dyDescent="0.3">
      <c r="A81" t="s">
        <v>505</v>
      </c>
      <c r="B81" s="1">
        <v>42221</v>
      </c>
      <c r="C81" s="1">
        <v>42225</v>
      </c>
      <c r="D81" s="1">
        <v>42217</v>
      </c>
      <c r="E81" t="s">
        <v>43</v>
      </c>
      <c r="F81" t="s">
        <v>506</v>
      </c>
      <c r="G81" t="s">
        <v>507</v>
      </c>
      <c r="H81" t="s">
        <v>22</v>
      </c>
      <c r="I81" t="s">
        <v>23</v>
      </c>
      <c r="J81" t="s">
        <v>35</v>
      </c>
      <c r="K81" t="s">
        <v>36</v>
      </c>
      <c r="L81">
        <v>90004</v>
      </c>
      <c r="M81" t="s">
        <v>37</v>
      </c>
      <c r="N81" t="s">
        <v>508</v>
      </c>
      <c r="O81" t="s">
        <v>39</v>
      </c>
      <c r="P81" t="s">
        <v>63</v>
      </c>
      <c r="Q81" t="s">
        <v>509</v>
      </c>
      <c r="R81">
        <v>2094</v>
      </c>
    </row>
    <row r="82" spans="1:18" x14ac:dyDescent="0.3">
      <c r="A82" t="s">
        <v>510</v>
      </c>
      <c r="B82" s="1">
        <v>42261</v>
      </c>
      <c r="C82" s="1">
        <v>42266</v>
      </c>
      <c r="D82" s="1">
        <v>42248</v>
      </c>
      <c r="E82" t="s">
        <v>43</v>
      </c>
      <c r="F82" t="s">
        <v>511</v>
      </c>
      <c r="G82" t="s">
        <v>512</v>
      </c>
      <c r="H82" t="s">
        <v>34</v>
      </c>
      <c r="I82" t="s">
        <v>23</v>
      </c>
      <c r="J82" t="s">
        <v>225</v>
      </c>
      <c r="K82" t="s">
        <v>160</v>
      </c>
      <c r="L82">
        <v>60623</v>
      </c>
      <c r="M82" t="s">
        <v>79</v>
      </c>
      <c r="N82" t="s">
        <v>513</v>
      </c>
      <c r="O82" t="s">
        <v>39</v>
      </c>
      <c r="P82" t="s">
        <v>81</v>
      </c>
      <c r="Q82" t="s">
        <v>514</v>
      </c>
      <c r="R82">
        <v>52448</v>
      </c>
    </row>
    <row r="83" spans="1:18" x14ac:dyDescent="0.3">
      <c r="A83" t="s">
        <v>515</v>
      </c>
      <c r="B83" s="1">
        <v>43211</v>
      </c>
      <c r="C83" s="1">
        <v>43215</v>
      </c>
      <c r="D83" s="1">
        <v>43191</v>
      </c>
      <c r="E83" t="s">
        <v>19</v>
      </c>
      <c r="F83" t="s">
        <v>516</v>
      </c>
      <c r="G83" t="s">
        <v>517</v>
      </c>
      <c r="H83" t="s">
        <v>22</v>
      </c>
      <c r="I83" t="s">
        <v>23</v>
      </c>
      <c r="J83" t="s">
        <v>138</v>
      </c>
      <c r="K83" t="s">
        <v>78</v>
      </c>
      <c r="L83">
        <v>77036</v>
      </c>
      <c r="M83" t="s">
        <v>79</v>
      </c>
      <c r="N83" t="s">
        <v>518</v>
      </c>
      <c r="O83" t="s">
        <v>39</v>
      </c>
      <c r="P83" t="s">
        <v>81</v>
      </c>
      <c r="Q83" t="s">
        <v>519</v>
      </c>
      <c r="R83">
        <v>97264</v>
      </c>
    </row>
    <row r="84" spans="1:18" x14ac:dyDescent="0.3">
      <c r="A84" t="s">
        <v>520</v>
      </c>
      <c r="B84" s="1">
        <v>42695</v>
      </c>
      <c r="C84" s="1">
        <v>42697</v>
      </c>
      <c r="D84" s="1">
        <v>42675</v>
      </c>
      <c r="E84" t="s">
        <v>19</v>
      </c>
      <c r="F84" t="s">
        <v>252</v>
      </c>
      <c r="G84" t="s">
        <v>253</v>
      </c>
      <c r="H84" t="s">
        <v>22</v>
      </c>
      <c r="I84" t="s">
        <v>23</v>
      </c>
      <c r="J84" t="s">
        <v>447</v>
      </c>
      <c r="K84" t="s">
        <v>377</v>
      </c>
      <c r="L84">
        <v>43055</v>
      </c>
      <c r="M84" t="s">
        <v>117</v>
      </c>
      <c r="N84" t="s">
        <v>521</v>
      </c>
      <c r="O84" t="s">
        <v>28</v>
      </c>
      <c r="P84" t="s">
        <v>119</v>
      </c>
      <c r="Q84" t="s">
        <v>522</v>
      </c>
      <c r="R84">
        <v>396802</v>
      </c>
    </row>
    <row r="85" spans="1:18" x14ac:dyDescent="0.3">
      <c r="A85" t="s">
        <v>523</v>
      </c>
      <c r="B85" s="1">
        <v>42719</v>
      </c>
      <c r="C85" s="1">
        <v>42723</v>
      </c>
      <c r="D85" s="1">
        <v>42705</v>
      </c>
      <c r="E85" t="s">
        <v>43</v>
      </c>
      <c r="F85" t="s">
        <v>524</v>
      </c>
      <c r="G85" t="s">
        <v>525</v>
      </c>
      <c r="H85" t="s">
        <v>76</v>
      </c>
      <c r="I85" t="s">
        <v>23</v>
      </c>
      <c r="J85" t="s">
        <v>206</v>
      </c>
      <c r="K85" t="s">
        <v>207</v>
      </c>
      <c r="L85">
        <v>10009</v>
      </c>
      <c r="M85" t="s">
        <v>117</v>
      </c>
      <c r="N85" t="s">
        <v>526</v>
      </c>
      <c r="O85" t="s">
        <v>39</v>
      </c>
      <c r="P85" t="s">
        <v>103</v>
      </c>
      <c r="Q85" t="s">
        <v>527</v>
      </c>
      <c r="R85">
        <v>328</v>
      </c>
    </row>
    <row r="86" spans="1:18" x14ac:dyDescent="0.3">
      <c r="A86" t="s">
        <v>528</v>
      </c>
      <c r="B86" s="1">
        <v>42327</v>
      </c>
      <c r="C86" s="1">
        <v>42332</v>
      </c>
      <c r="D86" s="1">
        <v>42309</v>
      </c>
      <c r="E86" t="s">
        <v>19</v>
      </c>
      <c r="F86" t="s">
        <v>529</v>
      </c>
      <c r="G86" t="s">
        <v>530</v>
      </c>
      <c r="H86" t="s">
        <v>76</v>
      </c>
      <c r="I86" t="s">
        <v>23</v>
      </c>
      <c r="J86" t="s">
        <v>531</v>
      </c>
      <c r="K86" t="s">
        <v>532</v>
      </c>
      <c r="L86">
        <v>71203</v>
      </c>
      <c r="M86" t="s">
        <v>26</v>
      </c>
      <c r="N86" t="s">
        <v>533</v>
      </c>
      <c r="O86" t="s">
        <v>147</v>
      </c>
      <c r="P86" t="s">
        <v>148</v>
      </c>
      <c r="Q86" t="s">
        <v>534</v>
      </c>
      <c r="R86">
        <v>50396</v>
      </c>
    </row>
    <row r="87" spans="1:18" x14ac:dyDescent="0.3">
      <c r="A87" t="s">
        <v>535</v>
      </c>
      <c r="B87" s="1">
        <v>43067</v>
      </c>
      <c r="C87" s="1">
        <v>43071</v>
      </c>
      <c r="D87" s="1">
        <v>43040</v>
      </c>
      <c r="E87" t="s">
        <v>43</v>
      </c>
      <c r="F87" t="s">
        <v>536</v>
      </c>
      <c r="G87" t="s">
        <v>537</v>
      </c>
      <c r="H87" t="s">
        <v>22</v>
      </c>
      <c r="I87" t="s">
        <v>23</v>
      </c>
      <c r="J87" t="s">
        <v>538</v>
      </c>
      <c r="K87" t="s">
        <v>539</v>
      </c>
      <c r="L87">
        <v>6824</v>
      </c>
      <c r="M87" t="s">
        <v>117</v>
      </c>
      <c r="N87" t="s">
        <v>540</v>
      </c>
      <c r="O87" t="s">
        <v>39</v>
      </c>
      <c r="P87" t="s">
        <v>71</v>
      </c>
      <c r="Q87" t="s">
        <v>541</v>
      </c>
      <c r="R87">
        <v>716</v>
      </c>
    </row>
    <row r="88" spans="1:18" x14ac:dyDescent="0.3">
      <c r="A88" t="s">
        <v>542</v>
      </c>
      <c r="B88" s="1">
        <v>42242</v>
      </c>
      <c r="C88" s="1">
        <v>42246</v>
      </c>
      <c r="D88" s="1">
        <v>42217</v>
      </c>
      <c r="E88" t="s">
        <v>43</v>
      </c>
      <c r="F88" t="s">
        <v>543</v>
      </c>
      <c r="G88" t="s">
        <v>544</v>
      </c>
      <c r="H88" t="s">
        <v>76</v>
      </c>
      <c r="I88" t="s">
        <v>23</v>
      </c>
      <c r="J88" t="s">
        <v>35</v>
      </c>
      <c r="K88" t="s">
        <v>36</v>
      </c>
      <c r="L88">
        <v>90032</v>
      </c>
      <c r="M88" t="s">
        <v>37</v>
      </c>
      <c r="N88" t="s">
        <v>545</v>
      </c>
      <c r="O88" t="s">
        <v>147</v>
      </c>
      <c r="P88" t="s">
        <v>180</v>
      </c>
      <c r="Q88" t="s">
        <v>546</v>
      </c>
      <c r="R88">
        <v>1768</v>
      </c>
    </row>
    <row r="89" spans="1:18" x14ac:dyDescent="0.3">
      <c r="A89" t="s">
        <v>547</v>
      </c>
      <c r="B89" s="1">
        <v>42932</v>
      </c>
      <c r="C89" s="1">
        <v>42938</v>
      </c>
      <c r="D89" s="1">
        <v>42917</v>
      </c>
      <c r="E89" t="s">
        <v>43</v>
      </c>
      <c r="F89" t="s">
        <v>548</v>
      </c>
      <c r="G89" t="s">
        <v>549</v>
      </c>
      <c r="H89" t="s">
        <v>34</v>
      </c>
      <c r="I89" t="s">
        <v>23</v>
      </c>
      <c r="J89" t="s">
        <v>550</v>
      </c>
      <c r="K89" t="s">
        <v>78</v>
      </c>
      <c r="L89">
        <v>75051</v>
      </c>
      <c r="M89" t="s">
        <v>79</v>
      </c>
      <c r="N89" t="s">
        <v>551</v>
      </c>
      <c r="O89" t="s">
        <v>39</v>
      </c>
      <c r="P89" t="s">
        <v>89</v>
      </c>
      <c r="Q89" t="s">
        <v>552</v>
      </c>
      <c r="R89">
        <v>37224</v>
      </c>
    </row>
    <row r="90" spans="1:18" x14ac:dyDescent="0.3">
      <c r="A90" t="s">
        <v>553</v>
      </c>
      <c r="B90" s="1">
        <v>42655</v>
      </c>
      <c r="C90" s="1">
        <v>42657</v>
      </c>
      <c r="D90" s="1">
        <v>42644</v>
      </c>
      <c r="E90" t="s">
        <v>142</v>
      </c>
      <c r="F90" t="s">
        <v>554</v>
      </c>
      <c r="G90" t="s">
        <v>555</v>
      </c>
      <c r="H90" t="s">
        <v>76</v>
      </c>
      <c r="I90" t="s">
        <v>23</v>
      </c>
      <c r="J90" t="s">
        <v>206</v>
      </c>
      <c r="K90" t="s">
        <v>207</v>
      </c>
      <c r="L90">
        <v>10035</v>
      </c>
      <c r="M90" t="s">
        <v>117</v>
      </c>
      <c r="N90" t="s">
        <v>556</v>
      </c>
      <c r="O90" t="s">
        <v>28</v>
      </c>
      <c r="P90" t="s">
        <v>29</v>
      </c>
      <c r="Q90" t="s">
        <v>557</v>
      </c>
      <c r="R90">
        <v>899136</v>
      </c>
    </row>
    <row r="91" spans="1:18" x14ac:dyDescent="0.3">
      <c r="A91" t="s">
        <v>558</v>
      </c>
      <c r="B91" s="1">
        <v>42674</v>
      </c>
      <c r="C91" s="1">
        <v>42680</v>
      </c>
      <c r="D91" s="1">
        <v>42644</v>
      </c>
      <c r="E91" t="s">
        <v>43</v>
      </c>
      <c r="F91" t="s">
        <v>559</v>
      </c>
      <c r="G91" t="s">
        <v>560</v>
      </c>
      <c r="H91" t="s">
        <v>34</v>
      </c>
      <c r="I91" t="s">
        <v>23</v>
      </c>
      <c r="J91" t="s">
        <v>561</v>
      </c>
      <c r="K91" t="s">
        <v>36</v>
      </c>
      <c r="L91">
        <v>92374</v>
      </c>
      <c r="M91" t="s">
        <v>37</v>
      </c>
      <c r="N91" t="s">
        <v>562</v>
      </c>
      <c r="O91" t="s">
        <v>39</v>
      </c>
      <c r="P91" t="s">
        <v>154</v>
      </c>
      <c r="Q91" t="s">
        <v>563</v>
      </c>
      <c r="R91">
        <v>1428</v>
      </c>
    </row>
    <row r="92" spans="1:18" x14ac:dyDescent="0.3">
      <c r="A92" t="s">
        <v>564</v>
      </c>
      <c r="B92" s="1">
        <v>42084</v>
      </c>
      <c r="C92" s="1">
        <v>42088</v>
      </c>
      <c r="D92" s="1">
        <v>42064</v>
      </c>
      <c r="E92" t="s">
        <v>43</v>
      </c>
      <c r="F92" t="s">
        <v>565</v>
      </c>
      <c r="G92" t="s">
        <v>566</v>
      </c>
      <c r="H92" t="s">
        <v>22</v>
      </c>
      <c r="I92" t="s">
        <v>23</v>
      </c>
      <c r="J92" t="s">
        <v>567</v>
      </c>
      <c r="K92" t="s">
        <v>377</v>
      </c>
      <c r="L92">
        <v>45011</v>
      </c>
      <c r="M92" t="s">
        <v>117</v>
      </c>
      <c r="N92" t="s">
        <v>568</v>
      </c>
      <c r="O92" t="s">
        <v>39</v>
      </c>
      <c r="P92" t="s">
        <v>103</v>
      </c>
      <c r="Q92" t="s">
        <v>569</v>
      </c>
      <c r="R92">
        <v>7408</v>
      </c>
    </row>
    <row r="93" spans="1:18" x14ac:dyDescent="0.3">
      <c r="A93" t="s">
        <v>570</v>
      </c>
      <c r="B93" s="1">
        <v>43287</v>
      </c>
      <c r="C93" s="1">
        <v>43294</v>
      </c>
      <c r="D93" s="1">
        <v>43282</v>
      </c>
      <c r="E93" t="s">
        <v>43</v>
      </c>
      <c r="F93" t="s">
        <v>571</v>
      </c>
      <c r="G93" t="s">
        <v>572</v>
      </c>
      <c r="H93" t="s">
        <v>34</v>
      </c>
      <c r="I93" t="s">
        <v>23</v>
      </c>
      <c r="J93" t="s">
        <v>115</v>
      </c>
      <c r="K93" t="s">
        <v>116</v>
      </c>
      <c r="L93">
        <v>19120</v>
      </c>
      <c r="M93" t="s">
        <v>117</v>
      </c>
      <c r="N93" t="s">
        <v>573</v>
      </c>
      <c r="O93" t="s">
        <v>39</v>
      </c>
      <c r="P93" t="s">
        <v>71</v>
      </c>
      <c r="Q93" t="s">
        <v>574</v>
      </c>
      <c r="R93">
        <v>2946</v>
      </c>
    </row>
    <row r="94" spans="1:18" x14ac:dyDescent="0.3">
      <c r="A94" t="s">
        <v>575</v>
      </c>
      <c r="B94" s="1">
        <v>43275</v>
      </c>
      <c r="C94" s="1">
        <v>43280</v>
      </c>
      <c r="D94" s="1">
        <v>43252</v>
      </c>
      <c r="E94" t="s">
        <v>43</v>
      </c>
      <c r="F94" t="s">
        <v>576</v>
      </c>
      <c r="G94" t="s">
        <v>577</v>
      </c>
      <c r="H94" t="s">
        <v>22</v>
      </c>
      <c r="I94" t="s">
        <v>23</v>
      </c>
      <c r="J94" t="s">
        <v>578</v>
      </c>
      <c r="K94" t="s">
        <v>377</v>
      </c>
      <c r="L94">
        <v>44312</v>
      </c>
      <c r="M94" t="s">
        <v>117</v>
      </c>
      <c r="N94" t="s">
        <v>579</v>
      </c>
      <c r="O94" t="s">
        <v>39</v>
      </c>
      <c r="P94" t="s">
        <v>63</v>
      </c>
      <c r="Q94" t="s">
        <v>580</v>
      </c>
      <c r="R94">
        <v>21744</v>
      </c>
    </row>
    <row r="95" spans="1:18" x14ac:dyDescent="0.3">
      <c r="A95" t="s">
        <v>581</v>
      </c>
      <c r="B95" s="1">
        <v>42219</v>
      </c>
      <c r="C95" s="1">
        <v>42221</v>
      </c>
      <c r="D95" s="1">
        <v>42217</v>
      </c>
      <c r="E95" t="s">
        <v>142</v>
      </c>
      <c r="F95" t="s">
        <v>582</v>
      </c>
      <c r="G95" t="s">
        <v>583</v>
      </c>
      <c r="H95" t="s">
        <v>22</v>
      </c>
      <c r="I95" t="s">
        <v>23</v>
      </c>
      <c r="J95" t="s">
        <v>584</v>
      </c>
      <c r="K95" t="s">
        <v>346</v>
      </c>
      <c r="L95">
        <v>80219</v>
      </c>
      <c r="M95" t="s">
        <v>37</v>
      </c>
      <c r="N95" t="s">
        <v>585</v>
      </c>
      <c r="O95" t="s">
        <v>28</v>
      </c>
      <c r="P95" t="s">
        <v>49</v>
      </c>
      <c r="Q95" t="s">
        <v>586</v>
      </c>
      <c r="R95">
        <v>21875</v>
      </c>
    </row>
    <row r="96" spans="1:18" x14ac:dyDescent="0.3">
      <c r="A96" t="s">
        <v>587</v>
      </c>
      <c r="B96" s="1">
        <v>43451</v>
      </c>
      <c r="C96" s="1">
        <v>43455</v>
      </c>
      <c r="D96" s="1">
        <v>43435</v>
      </c>
      <c r="E96" t="s">
        <v>19</v>
      </c>
      <c r="F96" t="s">
        <v>588</v>
      </c>
      <c r="G96" t="s">
        <v>589</v>
      </c>
      <c r="H96" t="s">
        <v>22</v>
      </c>
      <c r="I96" t="s">
        <v>23</v>
      </c>
      <c r="J96" t="s">
        <v>590</v>
      </c>
      <c r="K96" t="s">
        <v>78</v>
      </c>
      <c r="L96">
        <v>75220</v>
      </c>
      <c r="M96" t="s">
        <v>79</v>
      </c>
      <c r="N96" t="s">
        <v>591</v>
      </c>
      <c r="O96" t="s">
        <v>39</v>
      </c>
      <c r="P96" t="s">
        <v>81</v>
      </c>
      <c r="Q96" t="s">
        <v>592</v>
      </c>
      <c r="R96">
        <v>66284</v>
      </c>
    </row>
    <row r="97" spans="1:18" x14ac:dyDescent="0.3">
      <c r="A97" t="s">
        <v>593</v>
      </c>
      <c r="B97" s="1">
        <v>43254</v>
      </c>
      <c r="C97" s="1">
        <v>43258</v>
      </c>
      <c r="D97" s="1">
        <v>43252</v>
      </c>
      <c r="E97" t="s">
        <v>43</v>
      </c>
      <c r="F97" t="s">
        <v>594</v>
      </c>
      <c r="G97" t="s">
        <v>595</v>
      </c>
      <c r="H97" t="s">
        <v>34</v>
      </c>
      <c r="I97" t="s">
        <v>23</v>
      </c>
      <c r="J97" t="s">
        <v>596</v>
      </c>
      <c r="K97" t="s">
        <v>255</v>
      </c>
      <c r="L97">
        <v>37064</v>
      </c>
      <c r="M97" t="s">
        <v>26</v>
      </c>
      <c r="N97" t="s">
        <v>597</v>
      </c>
      <c r="O97" t="s">
        <v>28</v>
      </c>
      <c r="P97" t="s">
        <v>55</v>
      </c>
      <c r="Q97" t="s">
        <v>598</v>
      </c>
      <c r="R97">
        <v>35168</v>
      </c>
    </row>
    <row r="98" spans="1:18" x14ac:dyDescent="0.3">
      <c r="A98" t="s">
        <v>599</v>
      </c>
      <c r="B98" s="1">
        <v>43435</v>
      </c>
      <c r="C98" s="1">
        <v>43441</v>
      </c>
      <c r="D98" s="1">
        <v>43435</v>
      </c>
      <c r="E98" t="s">
        <v>43</v>
      </c>
      <c r="F98" t="s">
        <v>600</v>
      </c>
      <c r="G98" t="s">
        <v>601</v>
      </c>
      <c r="H98" t="s">
        <v>22</v>
      </c>
      <c r="I98" t="s">
        <v>23</v>
      </c>
      <c r="J98" t="s">
        <v>602</v>
      </c>
      <c r="K98" t="s">
        <v>186</v>
      </c>
      <c r="L98">
        <v>48601</v>
      </c>
      <c r="M98" t="s">
        <v>79</v>
      </c>
      <c r="N98" t="s">
        <v>603</v>
      </c>
      <c r="O98" t="s">
        <v>39</v>
      </c>
      <c r="P98" t="s">
        <v>89</v>
      </c>
      <c r="Q98" t="s">
        <v>604</v>
      </c>
      <c r="R98">
        <v>8392</v>
      </c>
    </row>
    <row r="99" spans="1:18" x14ac:dyDescent="0.3">
      <c r="A99" t="s">
        <v>605</v>
      </c>
      <c r="B99" s="1">
        <v>42409</v>
      </c>
      <c r="C99" s="1">
        <v>42413</v>
      </c>
      <c r="D99" s="1">
        <v>42401</v>
      </c>
      <c r="E99" t="s">
        <v>19</v>
      </c>
      <c r="F99" t="s">
        <v>606</v>
      </c>
      <c r="G99" t="s">
        <v>607</v>
      </c>
      <c r="H99" t="s">
        <v>34</v>
      </c>
      <c r="I99" t="s">
        <v>23</v>
      </c>
      <c r="J99" t="s">
        <v>590</v>
      </c>
      <c r="K99" t="s">
        <v>78</v>
      </c>
      <c r="L99">
        <v>75220</v>
      </c>
      <c r="M99" t="s">
        <v>79</v>
      </c>
      <c r="N99" t="s">
        <v>608</v>
      </c>
      <c r="O99" t="s">
        <v>147</v>
      </c>
      <c r="P99" t="s">
        <v>180</v>
      </c>
      <c r="Q99" t="s">
        <v>609</v>
      </c>
      <c r="R99">
        <v>208</v>
      </c>
    </row>
    <row r="100" spans="1:18" x14ac:dyDescent="0.3">
      <c r="A100" t="s">
        <v>610</v>
      </c>
      <c r="B100" s="1">
        <v>42371</v>
      </c>
      <c r="C100" s="1">
        <v>42378</v>
      </c>
      <c r="D100" s="1">
        <v>42370</v>
      </c>
      <c r="E100" t="s">
        <v>43</v>
      </c>
      <c r="F100" t="s">
        <v>611</v>
      </c>
      <c r="G100" t="s">
        <v>612</v>
      </c>
      <c r="H100" t="s">
        <v>34</v>
      </c>
      <c r="I100" t="s">
        <v>23</v>
      </c>
      <c r="J100" t="s">
        <v>613</v>
      </c>
      <c r="K100" t="s">
        <v>377</v>
      </c>
      <c r="L100">
        <v>44256</v>
      </c>
      <c r="M100" t="s">
        <v>117</v>
      </c>
      <c r="N100" t="s">
        <v>614</v>
      </c>
      <c r="O100" t="s">
        <v>39</v>
      </c>
      <c r="P100" t="s">
        <v>40</v>
      </c>
      <c r="Q100" t="s">
        <v>615</v>
      </c>
      <c r="R100">
        <v>2368</v>
      </c>
    </row>
    <row r="101" spans="1:18" x14ac:dyDescent="0.3">
      <c r="A101" t="s">
        <v>616</v>
      </c>
      <c r="B101" s="1">
        <v>43036</v>
      </c>
      <c r="C101" s="1">
        <v>43040</v>
      </c>
      <c r="D101" s="1">
        <v>43009</v>
      </c>
      <c r="E101" t="s">
        <v>43</v>
      </c>
      <c r="F101" t="s">
        <v>617</v>
      </c>
      <c r="G101" t="s">
        <v>618</v>
      </c>
      <c r="H101" t="s">
        <v>22</v>
      </c>
      <c r="I101" t="s">
        <v>23</v>
      </c>
      <c r="J101" t="s">
        <v>35</v>
      </c>
      <c r="K101" t="s">
        <v>36</v>
      </c>
      <c r="L101">
        <v>90032</v>
      </c>
      <c r="M101" t="s">
        <v>37</v>
      </c>
      <c r="N101" t="s">
        <v>551</v>
      </c>
      <c r="O101" t="s">
        <v>39</v>
      </c>
      <c r="P101" t="s">
        <v>89</v>
      </c>
      <c r="Q101" t="s">
        <v>552</v>
      </c>
      <c r="R101">
        <v>9306</v>
      </c>
    </row>
    <row r="102" spans="1:18" x14ac:dyDescent="0.3">
      <c r="A102" t="s">
        <v>619</v>
      </c>
      <c r="B102" s="1">
        <v>42728</v>
      </c>
      <c r="C102" s="1">
        <v>42731</v>
      </c>
      <c r="D102" s="1">
        <v>42705</v>
      </c>
      <c r="E102" t="s">
        <v>142</v>
      </c>
      <c r="F102" t="s">
        <v>620</v>
      </c>
      <c r="G102" t="s">
        <v>621</v>
      </c>
      <c r="H102" t="s">
        <v>22</v>
      </c>
      <c r="I102" t="s">
        <v>23</v>
      </c>
      <c r="J102" t="s">
        <v>622</v>
      </c>
      <c r="K102" t="s">
        <v>377</v>
      </c>
      <c r="L102">
        <v>43017</v>
      </c>
      <c r="M102" t="s">
        <v>117</v>
      </c>
      <c r="N102" t="s">
        <v>623</v>
      </c>
      <c r="O102" t="s">
        <v>39</v>
      </c>
      <c r="P102" t="s">
        <v>209</v>
      </c>
      <c r="Q102" t="s">
        <v>624</v>
      </c>
      <c r="R102">
        <v>5584</v>
      </c>
    </row>
    <row r="103" spans="1:18" x14ac:dyDescent="0.3">
      <c r="A103" t="s">
        <v>625</v>
      </c>
      <c r="B103" s="1">
        <v>42591</v>
      </c>
      <c r="C103" s="1">
        <v>42598</v>
      </c>
      <c r="D103" s="1">
        <v>42583</v>
      </c>
      <c r="E103" t="s">
        <v>43</v>
      </c>
      <c r="F103" t="s">
        <v>626</v>
      </c>
      <c r="G103" t="s">
        <v>627</v>
      </c>
      <c r="H103" t="s">
        <v>34</v>
      </c>
      <c r="I103" t="s">
        <v>23</v>
      </c>
      <c r="J103" t="s">
        <v>628</v>
      </c>
      <c r="K103" t="s">
        <v>186</v>
      </c>
      <c r="L103">
        <v>48227</v>
      </c>
      <c r="M103" t="s">
        <v>79</v>
      </c>
      <c r="N103" t="s">
        <v>629</v>
      </c>
      <c r="O103" t="s">
        <v>39</v>
      </c>
      <c r="P103" t="s">
        <v>103</v>
      </c>
      <c r="Q103" t="s">
        <v>630</v>
      </c>
      <c r="R103">
        <v>22</v>
      </c>
    </row>
    <row r="104" spans="1:18" x14ac:dyDescent="0.3">
      <c r="A104" t="s">
        <v>631</v>
      </c>
      <c r="B104" s="1">
        <v>42428</v>
      </c>
      <c r="C104" s="1">
        <v>42433</v>
      </c>
      <c r="D104" s="1">
        <v>42401</v>
      </c>
      <c r="E104" t="s">
        <v>43</v>
      </c>
      <c r="F104" t="s">
        <v>632</v>
      </c>
      <c r="G104" t="s">
        <v>633</v>
      </c>
      <c r="H104" t="s">
        <v>22</v>
      </c>
      <c r="I104" t="s">
        <v>23</v>
      </c>
      <c r="J104" t="s">
        <v>283</v>
      </c>
      <c r="K104" t="s">
        <v>255</v>
      </c>
      <c r="L104">
        <v>38401</v>
      </c>
      <c r="M104" t="s">
        <v>26</v>
      </c>
      <c r="N104" t="s">
        <v>634</v>
      </c>
      <c r="O104" t="s">
        <v>28</v>
      </c>
      <c r="P104" t="s">
        <v>119</v>
      </c>
      <c r="Q104" t="s">
        <v>635</v>
      </c>
      <c r="R104">
        <v>161568</v>
      </c>
    </row>
    <row r="105" spans="1:18" x14ac:dyDescent="0.3">
      <c r="A105" t="s">
        <v>636</v>
      </c>
      <c r="B105" s="1">
        <v>42260</v>
      </c>
      <c r="C105" s="1">
        <v>42264</v>
      </c>
      <c r="D105" s="1">
        <v>42248</v>
      </c>
      <c r="E105" t="s">
        <v>43</v>
      </c>
      <c r="F105" t="s">
        <v>637</v>
      </c>
      <c r="G105" t="s">
        <v>638</v>
      </c>
      <c r="H105" t="s">
        <v>34</v>
      </c>
      <c r="I105" t="s">
        <v>23</v>
      </c>
      <c r="J105" t="s">
        <v>352</v>
      </c>
      <c r="K105" t="s">
        <v>61</v>
      </c>
      <c r="L105">
        <v>28205</v>
      </c>
      <c r="M105" t="s">
        <v>26</v>
      </c>
      <c r="N105" t="s">
        <v>639</v>
      </c>
      <c r="O105" t="s">
        <v>39</v>
      </c>
      <c r="P105" t="s">
        <v>71</v>
      </c>
      <c r="Q105" t="s">
        <v>640</v>
      </c>
      <c r="R105">
        <v>18648</v>
      </c>
    </row>
    <row r="106" spans="1:18" x14ac:dyDescent="0.3">
      <c r="A106" t="s">
        <v>641</v>
      </c>
      <c r="B106" s="1">
        <v>43197</v>
      </c>
      <c r="C106" s="1">
        <v>43202</v>
      </c>
      <c r="D106" s="1">
        <v>43191</v>
      </c>
      <c r="E106" t="s">
        <v>43</v>
      </c>
      <c r="F106" t="s">
        <v>278</v>
      </c>
      <c r="G106" t="s">
        <v>279</v>
      </c>
      <c r="H106" t="s">
        <v>76</v>
      </c>
      <c r="I106" t="s">
        <v>23</v>
      </c>
      <c r="J106" t="s">
        <v>642</v>
      </c>
      <c r="K106" t="s">
        <v>47</v>
      </c>
      <c r="L106">
        <v>33614</v>
      </c>
      <c r="M106" t="s">
        <v>26</v>
      </c>
      <c r="N106" t="s">
        <v>643</v>
      </c>
      <c r="O106" t="s">
        <v>28</v>
      </c>
      <c r="P106" t="s">
        <v>49</v>
      </c>
      <c r="Q106" t="s">
        <v>644</v>
      </c>
      <c r="R106">
        <v>23386</v>
      </c>
    </row>
    <row r="107" spans="1:18" x14ac:dyDescent="0.3">
      <c r="A107" t="s">
        <v>645</v>
      </c>
      <c r="B107" s="1">
        <v>43416</v>
      </c>
      <c r="C107" s="1">
        <v>43420</v>
      </c>
      <c r="D107" s="1">
        <v>43405</v>
      </c>
      <c r="E107" t="s">
        <v>43</v>
      </c>
      <c r="F107" t="s">
        <v>646</v>
      </c>
      <c r="G107" t="s">
        <v>647</v>
      </c>
      <c r="H107" t="s">
        <v>34</v>
      </c>
      <c r="I107" t="s">
        <v>23</v>
      </c>
      <c r="J107" t="s">
        <v>648</v>
      </c>
      <c r="K107" t="s">
        <v>36</v>
      </c>
      <c r="L107">
        <v>95051</v>
      </c>
      <c r="M107" t="s">
        <v>37</v>
      </c>
      <c r="N107" t="s">
        <v>649</v>
      </c>
      <c r="O107" t="s">
        <v>39</v>
      </c>
      <c r="P107" t="s">
        <v>63</v>
      </c>
      <c r="Q107" t="s">
        <v>650</v>
      </c>
      <c r="R107">
        <v>1056</v>
      </c>
    </row>
    <row r="108" spans="1:18" x14ac:dyDescent="0.3">
      <c r="A108" t="s">
        <v>651</v>
      </c>
      <c r="B108" s="1">
        <v>42156</v>
      </c>
      <c r="C108" s="1">
        <v>42161</v>
      </c>
      <c r="D108" s="1">
        <v>42156</v>
      </c>
      <c r="E108" t="s">
        <v>19</v>
      </c>
      <c r="F108" t="s">
        <v>652</v>
      </c>
      <c r="G108" t="s">
        <v>653</v>
      </c>
      <c r="H108" t="s">
        <v>76</v>
      </c>
      <c r="I108" t="s">
        <v>23</v>
      </c>
      <c r="J108" t="s">
        <v>654</v>
      </c>
      <c r="K108" t="s">
        <v>178</v>
      </c>
      <c r="L108">
        <v>55044</v>
      </c>
      <c r="M108" t="s">
        <v>79</v>
      </c>
      <c r="N108" t="s">
        <v>394</v>
      </c>
      <c r="O108" t="s">
        <v>28</v>
      </c>
      <c r="P108" t="s">
        <v>119</v>
      </c>
      <c r="Q108" t="s">
        <v>395</v>
      </c>
      <c r="R108">
        <v>200186</v>
      </c>
    </row>
    <row r="109" spans="1:18" x14ac:dyDescent="0.3">
      <c r="A109" t="s">
        <v>655</v>
      </c>
      <c r="B109" s="1">
        <v>43079</v>
      </c>
      <c r="C109" s="1">
        <v>43084</v>
      </c>
      <c r="D109" s="1">
        <v>43070</v>
      </c>
      <c r="E109" t="s">
        <v>19</v>
      </c>
      <c r="F109" t="s">
        <v>656</v>
      </c>
      <c r="G109" t="s">
        <v>657</v>
      </c>
      <c r="H109" t="s">
        <v>22</v>
      </c>
      <c r="I109" t="s">
        <v>23</v>
      </c>
      <c r="J109" t="s">
        <v>101</v>
      </c>
      <c r="K109" t="s">
        <v>36</v>
      </c>
      <c r="L109">
        <v>94109</v>
      </c>
      <c r="M109" t="s">
        <v>37</v>
      </c>
      <c r="N109" t="s">
        <v>658</v>
      </c>
      <c r="O109" t="s">
        <v>28</v>
      </c>
      <c r="P109" t="s">
        <v>119</v>
      </c>
      <c r="Q109" t="s">
        <v>659</v>
      </c>
      <c r="R109">
        <v>321568</v>
      </c>
    </row>
    <row r="110" spans="1:18" x14ac:dyDescent="0.3">
      <c r="A110" t="s">
        <v>660</v>
      </c>
      <c r="B110" s="1">
        <v>42989</v>
      </c>
      <c r="C110" s="1">
        <v>42995</v>
      </c>
      <c r="D110" s="1">
        <v>42979</v>
      </c>
      <c r="E110" t="s">
        <v>43</v>
      </c>
      <c r="F110" t="s">
        <v>661</v>
      </c>
      <c r="G110" t="s">
        <v>662</v>
      </c>
      <c r="H110" t="s">
        <v>22</v>
      </c>
      <c r="I110" t="s">
        <v>23</v>
      </c>
      <c r="J110" t="s">
        <v>663</v>
      </c>
      <c r="K110" t="s">
        <v>36</v>
      </c>
      <c r="L110">
        <v>92037</v>
      </c>
      <c r="M110" t="s">
        <v>37</v>
      </c>
      <c r="N110" t="s">
        <v>664</v>
      </c>
      <c r="O110" t="s">
        <v>39</v>
      </c>
      <c r="P110" t="s">
        <v>63</v>
      </c>
      <c r="Q110" t="s">
        <v>665</v>
      </c>
      <c r="R110">
        <v>761</v>
      </c>
    </row>
    <row r="111" spans="1:18" x14ac:dyDescent="0.3">
      <c r="A111" t="s">
        <v>666</v>
      </c>
      <c r="B111" s="1">
        <v>42702</v>
      </c>
      <c r="C111" s="1">
        <v>42708</v>
      </c>
      <c r="D111" s="1">
        <v>42675</v>
      </c>
      <c r="E111" t="s">
        <v>43</v>
      </c>
      <c r="F111" t="s">
        <v>667</v>
      </c>
      <c r="G111" t="s">
        <v>668</v>
      </c>
      <c r="H111" t="s">
        <v>34</v>
      </c>
      <c r="I111" t="s">
        <v>23</v>
      </c>
      <c r="J111" t="s">
        <v>225</v>
      </c>
      <c r="K111" t="s">
        <v>160</v>
      </c>
      <c r="L111">
        <v>60623</v>
      </c>
      <c r="M111" t="s">
        <v>79</v>
      </c>
      <c r="N111" t="s">
        <v>669</v>
      </c>
      <c r="O111" t="s">
        <v>28</v>
      </c>
      <c r="P111" t="s">
        <v>55</v>
      </c>
      <c r="Q111" t="s">
        <v>670</v>
      </c>
      <c r="R111">
        <v>12132</v>
      </c>
    </row>
    <row r="112" spans="1:18" x14ac:dyDescent="0.3">
      <c r="A112" t="s">
        <v>671</v>
      </c>
      <c r="B112" s="1">
        <v>43259</v>
      </c>
      <c r="C112" s="1">
        <v>43263</v>
      </c>
      <c r="D112" s="1">
        <v>43252</v>
      </c>
      <c r="E112" t="s">
        <v>43</v>
      </c>
      <c r="F112" t="s">
        <v>672</v>
      </c>
      <c r="G112" t="s">
        <v>673</v>
      </c>
      <c r="H112" t="s">
        <v>34</v>
      </c>
      <c r="I112" t="s">
        <v>23</v>
      </c>
      <c r="J112" t="s">
        <v>443</v>
      </c>
      <c r="K112" t="s">
        <v>78</v>
      </c>
      <c r="L112">
        <v>77506</v>
      </c>
      <c r="M112" t="s">
        <v>79</v>
      </c>
      <c r="N112" t="s">
        <v>674</v>
      </c>
      <c r="O112" t="s">
        <v>39</v>
      </c>
      <c r="P112" t="s">
        <v>81</v>
      </c>
      <c r="Q112" t="s">
        <v>675</v>
      </c>
      <c r="R112">
        <v>1624</v>
      </c>
    </row>
    <row r="113" spans="1:18" x14ac:dyDescent="0.3">
      <c r="A113" t="s">
        <v>676</v>
      </c>
      <c r="B113" s="1">
        <v>42266</v>
      </c>
      <c r="C113" s="1">
        <v>42268</v>
      </c>
      <c r="D113" s="1">
        <v>42248</v>
      </c>
      <c r="E113" t="s">
        <v>19</v>
      </c>
      <c r="F113" t="s">
        <v>677</v>
      </c>
      <c r="G113" t="s">
        <v>678</v>
      </c>
      <c r="H113" t="s">
        <v>34</v>
      </c>
      <c r="I113" t="s">
        <v>23</v>
      </c>
      <c r="J113" t="s">
        <v>138</v>
      </c>
      <c r="K113" t="s">
        <v>78</v>
      </c>
      <c r="L113">
        <v>77036</v>
      </c>
      <c r="M113" t="s">
        <v>79</v>
      </c>
      <c r="N113" t="s">
        <v>679</v>
      </c>
      <c r="O113" t="s">
        <v>147</v>
      </c>
      <c r="P113" t="s">
        <v>680</v>
      </c>
      <c r="Q113" t="s">
        <v>681</v>
      </c>
      <c r="R113">
        <v>3059982</v>
      </c>
    </row>
    <row r="114" spans="1:18" x14ac:dyDescent="0.3">
      <c r="A114" t="s">
        <v>682</v>
      </c>
      <c r="B114" s="1">
        <v>42892</v>
      </c>
      <c r="C114" s="1">
        <v>42899</v>
      </c>
      <c r="D114" s="1">
        <v>42887</v>
      </c>
      <c r="E114" t="s">
        <v>43</v>
      </c>
      <c r="F114" t="s">
        <v>683</v>
      </c>
      <c r="G114" t="s">
        <v>684</v>
      </c>
      <c r="H114" t="s">
        <v>22</v>
      </c>
      <c r="I114" t="s">
        <v>23</v>
      </c>
      <c r="J114" t="s">
        <v>225</v>
      </c>
      <c r="K114" t="s">
        <v>160</v>
      </c>
      <c r="L114">
        <v>60610</v>
      </c>
      <c r="M114" t="s">
        <v>79</v>
      </c>
      <c r="N114" t="s">
        <v>685</v>
      </c>
      <c r="O114" t="s">
        <v>147</v>
      </c>
      <c r="P114" t="s">
        <v>148</v>
      </c>
      <c r="Q114" t="s">
        <v>686</v>
      </c>
      <c r="R114">
        <v>328224</v>
      </c>
    </row>
    <row r="115" spans="1:18" x14ac:dyDescent="0.3">
      <c r="A115" t="s">
        <v>687</v>
      </c>
      <c r="B115" s="1">
        <v>42684</v>
      </c>
      <c r="C115" s="1">
        <v>42689</v>
      </c>
      <c r="D115" s="1">
        <v>42675</v>
      </c>
      <c r="E115" t="s">
        <v>43</v>
      </c>
      <c r="F115" t="s">
        <v>688</v>
      </c>
      <c r="G115" t="s">
        <v>689</v>
      </c>
      <c r="H115" t="s">
        <v>22</v>
      </c>
      <c r="I115" t="s">
        <v>23</v>
      </c>
      <c r="J115" t="s">
        <v>690</v>
      </c>
      <c r="K115" t="s">
        <v>36</v>
      </c>
      <c r="L115">
        <v>94513</v>
      </c>
      <c r="M115" t="s">
        <v>37</v>
      </c>
      <c r="N115" t="s">
        <v>691</v>
      </c>
      <c r="O115" t="s">
        <v>147</v>
      </c>
      <c r="P115" t="s">
        <v>180</v>
      </c>
      <c r="Q115" t="s">
        <v>692</v>
      </c>
      <c r="R115">
        <v>799</v>
      </c>
    </row>
    <row r="116" spans="1:18" x14ac:dyDescent="0.3">
      <c r="A116" t="s">
        <v>693</v>
      </c>
      <c r="B116" s="1">
        <v>43267</v>
      </c>
      <c r="C116" s="1">
        <v>43271</v>
      </c>
      <c r="D116" s="1">
        <v>43252</v>
      </c>
      <c r="E116" t="s">
        <v>43</v>
      </c>
      <c r="F116" t="s">
        <v>694</v>
      </c>
      <c r="G116" t="s">
        <v>695</v>
      </c>
      <c r="H116" t="s">
        <v>34</v>
      </c>
      <c r="I116" t="s">
        <v>23</v>
      </c>
      <c r="J116" t="s">
        <v>696</v>
      </c>
      <c r="K116" t="s">
        <v>61</v>
      </c>
      <c r="L116">
        <v>27514</v>
      </c>
      <c r="M116" t="s">
        <v>26</v>
      </c>
      <c r="N116" t="s">
        <v>697</v>
      </c>
      <c r="O116" t="s">
        <v>39</v>
      </c>
      <c r="P116" t="s">
        <v>103</v>
      </c>
      <c r="Q116" t="s">
        <v>698</v>
      </c>
      <c r="R116">
        <v>14016</v>
      </c>
    </row>
    <row r="117" spans="1:18" x14ac:dyDescent="0.3">
      <c r="A117" t="s">
        <v>699</v>
      </c>
      <c r="B117" s="1">
        <v>42757</v>
      </c>
      <c r="C117" s="1">
        <v>42763</v>
      </c>
      <c r="D117" s="1">
        <v>42736</v>
      </c>
      <c r="E117" t="s">
        <v>43</v>
      </c>
      <c r="F117" t="s">
        <v>288</v>
      </c>
      <c r="G117" t="s">
        <v>289</v>
      </c>
      <c r="H117" t="s">
        <v>22</v>
      </c>
      <c r="I117" t="s">
        <v>23</v>
      </c>
      <c r="J117" t="s">
        <v>700</v>
      </c>
      <c r="K117" t="s">
        <v>701</v>
      </c>
      <c r="L117">
        <v>7960</v>
      </c>
      <c r="M117" t="s">
        <v>117</v>
      </c>
      <c r="N117" t="s">
        <v>702</v>
      </c>
      <c r="O117" t="s">
        <v>39</v>
      </c>
      <c r="P117" t="s">
        <v>209</v>
      </c>
      <c r="Q117" t="s">
        <v>703</v>
      </c>
      <c r="R117">
        <v>756</v>
      </c>
    </row>
    <row r="118" spans="1:18" x14ac:dyDescent="0.3">
      <c r="A118" t="s">
        <v>704</v>
      </c>
      <c r="B118" s="1">
        <v>43462</v>
      </c>
      <c r="C118" s="1">
        <v>43467</v>
      </c>
      <c r="D118" s="1">
        <v>43435</v>
      </c>
      <c r="E118" t="s">
        <v>19</v>
      </c>
      <c r="F118" t="s">
        <v>705</v>
      </c>
      <c r="G118" t="s">
        <v>706</v>
      </c>
      <c r="H118" t="s">
        <v>34</v>
      </c>
      <c r="I118" t="s">
        <v>23</v>
      </c>
      <c r="J118" t="s">
        <v>101</v>
      </c>
      <c r="K118" t="s">
        <v>36</v>
      </c>
      <c r="L118">
        <v>94110</v>
      </c>
      <c r="M118" t="s">
        <v>37</v>
      </c>
      <c r="N118" t="s">
        <v>707</v>
      </c>
      <c r="O118" t="s">
        <v>39</v>
      </c>
      <c r="P118" t="s">
        <v>89</v>
      </c>
      <c r="Q118" t="s">
        <v>708</v>
      </c>
      <c r="R118">
        <v>72584</v>
      </c>
    </row>
    <row r="119" spans="1:18" x14ac:dyDescent="0.3">
      <c r="A119" t="s">
        <v>709</v>
      </c>
      <c r="B119" s="1">
        <v>42581</v>
      </c>
      <c r="C119" s="1">
        <v>42582</v>
      </c>
      <c r="D119" s="1">
        <v>42552</v>
      </c>
      <c r="E119" t="s">
        <v>142</v>
      </c>
      <c r="F119" t="s">
        <v>441</v>
      </c>
      <c r="G119" t="s">
        <v>442</v>
      </c>
      <c r="H119" t="s">
        <v>22</v>
      </c>
      <c r="I119" t="s">
        <v>23</v>
      </c>
      <c r="J119" t="s">
        <v>101</v>
      </c>
      <c r="K119" t="s">
        <v>36</v>
      </c>
      <c r="L119">
        <v>94109</v>
      </c>
      <c r="M119" t="s">
        <v>37</v>
      </c>
      <c r="N119" t="s">
        <v>710</v>
      </c>
      <c r="O119" t="s">
        <v>147</v>
      </c>
      <c r="P119" t="s">
        <v>180</v>
      </c>
      <c r="Q119" t="s">
        <v>711</v>
      </c>
      <c r="R119">
        <v>20993</v>
      </c>
    </row>
    <row r="120" spans="1:18" x14ac:dyDescent="0.3">
      <c r="A120" t="s">
        <v>712</v>
      </c>
      <c r="B120" s="1">
        <v>43359</v>
      </c>
      <c r="C120" s="1">
        <v>43360</v>
      </c>
      <c r="D120" s="1">
        <v>43344</v>
      </c>
      <c r="E120" t="s">
        <v>142</v>
      </c>
      <c r="F120" t="s">
        <v>713</v>
      </c>
      <c r="G120" t="s">
        <v>714</v>
      </c>
      <c r="H120" t="s">
        <v>34</v>
      </c>
      <c r="I120" t="s">
        <v>23</v>
      </c>
      <c r="J120" t="s">
        <v>715</v>
      </c>
      <c r="K120" t="s">
        <v>36</v>
      </c>
      <c r="L120">
        <v>90301</v>
      </c>
      <c r="M120" t="s">
        <v>37</v>
      </c>
      <c r="N120" t="s">
        <v>716</v>
      </c>
      <c r="O120" t="s">
        <v>39</v>
      </c>
      <c r="P120" t="s">
        <v>63</v>
      </c>
      <c r="Q120" t="s">
        <v>717</v>
      </c>
      <c r="R120">
        <v>882</v>
      </c>
    </row>
    <row r="121" spans="1:18" x14ac:dyDescent="0.3">
      <c r="A121" t="s">
        <v>718</v>
      </c>
      <c r="B121" s="1">
        <v>43386</v>
      </c>
      <c r="C121" s="1">
        <v>43390</v>
      </c>
      <c r="D121" s="1">
        <v>43374</v>
      </c>
      <c r="E121" t="s">
        <v>43</v>
      </c>
      <c r="F121" t="s">
        <v>719</v>
      </c>
      <c r="G121" t="s">
        <v>720</v>
      </c>
      <c r="H121" t="s">
        <v>34</v>
      </c>
      <c r="I121" t="s">
        <v>23</v>
      </c>
      <c r="J121" t="s">
        <v>115</v>
      </c>
      <c r="K121" t="s">
        <v>116</v>
      </c>
      <c r="L121">
        <v>19140</v>
      </c>
      <c r="M121" t="s">
        <v>117</v>
      </c>
      <c r="N121" t="s">
        <v>721</v>
      </c>
      <c r="O121" t="s">
        <v>39</v>
      </c>
      <c r="P121" t="s">
        <v>63</v>
      </c>
      <c r="Q121" t="s">
        <v>722</v>
      </c>
      <c r="R121">
        <v>11648</v>
      </c>
    </row>
    <row r="122" spans="1:18" x14ac:dyDescent="0.3">
      <c r="A122" t="s">
        <v>723</v>
      </c>
      <c r="B122" s="1">
        <v>42639</v>
      </c>
      <c r="C122" s="1">
        <v>42641</v>
      </c>
      <c r="D122" s="1">
        <v>42614</v>
      </c>
      <c r="E122" t="s">
        <v>19</v>
      </c>
      <c r="F122" t="s">
        <v>724</v>
      </c>
      <c r="G122" t="s">
        <v>725</v>
      </c>
      <c r="H122" t="s">
        <v>22</v>
      </c>
      <c r="I122" t="s">
        <v>23</v>
      </c>
      <c r="J122" t="s">
        <v>138</v>
      </c>
      <c r="K122" t="s">
        <v>78</v>
      </c>
      <c r="L122">
        <v>77070</v>
      </c>
      <c r="M122" t="s">
        <v>79</v>
      </c>
      <c r="N122" t="s">
        <v>726</v>
      </c>
      <c r="O122" t="s">
        <v>39</v>
      </c>
      <c r="P122" t="s">
        <v>71</v>
      </c>
      <c r="Q122" t="s">
        <v>727</v>
      </c>
      <c r="R122">
        <v>208</v>
      </c>
    </row>
    <row r="123" spans="1:18" x14ac:dyDescent="0.3">
      <c r="A123" t="s">
        <v>728</v>
      </c>
      <c r="B123" s="1">
        <v>42676</v>
      </c>
      <c r="C123" s="1">
        <v>42680</v>
      </c>
      <c r="D123" s="1">
        <v>42675</v>
      </c>
      <c r="E123" t="s">
        <v>43</v>
      </c>
      <c r="F123" t="s">
        <v>729</v>
      </c>
      <c r="G123" t="s">
        <v>730</v>
      </c>
      <c r="H123" t="s">
        <v>22</v>
      </c>
      <c r="I123" t="s">
        <v>23</v>
      </c>
      <c r="J123" t="s">
        <v>35</v>
      </c>
      <c r="K123" t="s">
        <v>36</v>
      </c>
      <c r="L123">
        <v>90004</v>
      </c>
      <c r="M123" t="s">
        <v>37</v>
      </c>
      <c r="N123" t="s">
        <v>731</v>
      </c>
      <c r="O123" t="s">
        <v>28</v>
      </c>
      <c r="P123" t="s">
        <v>49</v>
      </c>
      <c r="Q123" t="s">
        <v>732</v>
      </c>
      <c r="R123">
        <v>103884</v>
      </c>
    </row>
    <row r="124" spans="1:18" x14ac:dyDescent="0.3">
      <c r="A124" t="s">
        <v>733</v>
      </c>
      <c r="B124" s="1">
        <v>43087</v>
      </c>
      <c r="C124" s="1">
        <v>43089</v>
      </c>
      <c r="D124" s="1">
        <v>43070</v>
      </c>
      <c r="E124" t="s">
        <v>19</v>
      </c>
      <c r="F124" t="s">
        <v>734</v>
      </c>
      <c r="G124" t="s">
        <v>735</v>
      </c>
      <c r="H124" t="s">
        <v>34</v>
      </c>
      <c r="I124" t="s">
        <v>23</v>
      </c>
      <c r="J124" t="s">
        <v>736</v>
      </c>
      <c r="K124" t="s">
        <v>47</v>
      </c>
      <c r="L124">
        <v>33319</v>
      </c>
      <c r="M124" t="s">
        <v>26</v>
      </c>
      <c r="N124" t="s">
        <v>737</v>
      </c>
      <c r="O124" t="s">
        <v>39</v>
      </c>
      <c r="P124" t="s">
        <v>71</v>
      </c>
      <c r="Q124" t="s">
        <v>738</v>
      </c>
      <c r="R124">
        <v>254058</v>
      </c>
    </row>
    <row r="125" spans="1:18" x14ac:dyDescent="0.3">
      <c r="A125" t="s">
        <v>739</v>
      </c>
      <c r="B125" s="1">
        <v>43423</v>
      </c>
      <c r="C125" s="1">
        <v>43427</v>
      </c>
      <c r="D125" s="1">
        <v>43405</v>
      </c>
      <c r="E125" t="s">
        <v>43</v>
      </c>
      <c r="F125" t="s">
        <v>617</v>
      </c>
      <c r="G125" t="s">
        <v>618</v>
      </c>
      <c r="H125" t="s">
        <v>22</v>
      </c>
      <c r="I125" t="s">
        <v>23</v>
      </c>
      <c r="J125" t="s">
        <v>225</v>
      </c>
      <c r="K125" t="s">
        <v>160</v>
      </c>
      <c r="L125">
        <v>60623</v>
      </c>
      <c r="M125" t="s">
        <v>79</v>
      </c>
      <c r="N125" t="s">
        <v>740</v>
      </c>
      <c r="O125" t="s">
        <v>28</v>
      </c>
      <c r="P125" t="s">
        <v>49</v>
      </c>
      <c r="Q125" t="s">
        <v>741</v>
      </c>
      <c r="R125">
        <v>219075</v>
      </c>
    </row>
    <row r="126" spans="1:18" x14ac:dyDescent="0.3">
      <c r="A126" t="s">
        <v>742</v>
      </c>
      <c r="B126" s="1">
        <v>42494</v>
      </c>
      <c r="C126" s="1">
        <v>42499</v>
      </c>
      <c r="D126" s="1">
        <v>42491</v>
      </c>
      <c r="E126" t="s">
        <v>19</v>
      </c>
      <c r="F126" t="s">
        <v>743</v>
      </c>
      <c r="G126" t="s">
        <v>744</v>
      </c>
      <c r="H126" t="s">
        <v>34</v>
      </c>
      <c r="I126" t="s">
        <v>23</v>
      </c>
      <c r="J126" t="s">
        <v>206</v>
      </c>
      <c r="K126" t="s">
        <v>207</v>
      </c>
      <c r="L126">
        <v>10024</v>
      </c>
      <c r="M126" t="s">
        <v>117</v>
      </c>
      <c r="N126" t="s">
        <v>745</v>
      </c>
      <c r="O126" t="s">
        <v>28</v>
      </c>
      <c r="P126" t="s">
        <v>55</v>
      </c>
      <c r="Q126" t="s">
        <v>746</v>
      </c>
      <c r="R126">
        <v>268</v>
      </c>
    </row>
    <row r="127" spans="1:18" x14ac:dyDescent="0.3">
      <c r="A127" t="s">
        <v>747</v>
      </c>
      <c r="B127" s="1">
        <v>42368</v>
      </c>
      <c r="C127" s="1">
        <v>42373</v>
      </c>
      <c r="D127" s="1">
        <v>42339</v>
      </c>
      <c r="E127" t="s">
        <v>43</v>
      </c>
      <c r="F127" t="s">
        <v>259</v>
      </c>
      <c r="G127" t="s">
        <v>260</v>
      </c>
      <c r="H127" t="s">
        <v>34</v>
      </c>
      <c r="I127" t="s">
        <v>23</v>
      </c>
      <c r="J127" t="s">
        <v>748</v>
      </c>
      <c r="K127" t="s">
        <v>186</v>
      </c>
      <c r="L127">
        <v>48180</v>
      </c>
      <c r="M127" t="s">
        <v>79</v>
      </c>
      <c r="N127" t="s">
        <v>749</v>
      </c>
      <c r="O127" t="s">
        <v>39</v>
      </c>
      <c r="P127" t="s">
        <v>103</v>
      </c>
      <c r="Q127" t="s">
        <v>750</v>
      </c>
      <c r="R127">
        <v>984</v>
      </c>
    </row>
    <row r="128" spans="1:18" x14ac:dyDescent="0.3">
      <c r="A128" t="s">
        <v>751</v>
      </c>
      <c r="B128" s="1">
        <v>42990</v>
      </c>
      <c r="C128" s="1">
        <v>42992</v>
      </c>
      <c r="D128" s="1">
        <v>42979</v>
      </c>
      <c r="E128" t="s">
        <v>19</v>
      </c>
      <c r="F128" t="s">
        <v>752</v>
      </c>
      <c r="G128" t="s">
        <v>753</v>
      </c>
      <c r="H128" t="s">
        <v>34</v>
      </c>
      <c r="I128" t="s">
        <v>23</v>
      </c>
      <c r="J128" t="s">
        <v>754</v>
      </c>
      <c r="K128" t="s">
        <v>346</v>
      </c>
      <c r="L128">
        <v>80004</v>
      </c>
      <c r="M128" t="s">
        <v>37</v>
      </c>
      <c r="N128" t="s">
        <v>755</v>
      </c>
      <c r="O128" t="s">
        <v>28</v>
      </c>
      <c r="P128" t="s">
        <v>55</v>
      </c>
      <c r="Q128" t="s">
        <v>756</v>
      </c>
      <c r="R128">
        <v>15136</v>
      </c>
    </row>
    <row r="129" spans="1:18" x14ac:dyDescent="0.3">
      <c r="A129" t="s">
        <v>757</v>
      </c>
      <c r="B129" s="1">
        <v>42274</v>
      </c>
      <c r="C129" s="1">
        <v>42280</v>
      </c>
      <c r="D129" s="1">
        <v>42248</v>
      </c>
      <c r="E129" t="s">
        <v>43</v>
      </c>
      <c r="F129" t="s">
        <v>758</v>
      </c>
      <c r="G129" t="s">
        <v>759</v>
      </c>
      <c r="H129" t="s">
        <v>34</v>
      </c>
      <c r="I129" t="s">
        <v>23</v>
      </c>
      <c r="J129" t="s">
        <v>760</v>
      </c>
      <c r="K129" t="s">
        <v>701</v>
      </c>
      <c r="L129">
        <v>7601</v>
      </c>
      <c r="M129" t="s">
        <v>117</v>
      </c>
      <c r="N129" t="s">
        <v>761</v>
      </c>
      <c r="O129" t="s">
        <v>28</v>
      </c>
      <c r="P129" t="s">
        <v>55</v>
      </c>
      <c r="Q129" t="s">
        <v>762</v>
      </c>
      <c r="R129">
        <v>8754</v>
      </c>
    </row>
    <row r="130" spans="1:18" x14ac:dyDescent="0.3">
      <c r="A130" t="s">
        <v>763</v>
      </c>
      <c r="B130" s="1">
        <v>42225</v>
      </c>
      <c r="C130" s="1">
        <v>42232</v>
      </c>
      <c r="D130" s="1">
        <v>42217</v>
      </c>
      <c r="E130" t="s">
        <v>43</v>
      </c>
      <c r="F130" t="s">
        <v>764</v>
      </c>
      <c r="G130" t="s">
        <v>765</v>
      </c>
      <c r="H130" t="s">
        <v>34</v>
      </c>
      <c r="I130" t="s">
        <v>23</v>
      </c>
      <c r="J130" t="s">
        <v>766</v>
      </c>
      <c r="K130" t="s">
        <v>47</v>
      </c>
      <c r="L130">
        <v>33710</v>
      </c>
      <c r="M130" t="s">
        <v>26</v>
      </c>
      <c r="N130" t="s">
        <v>767</v>
      </c>
      <c r="O130" t="s">
        <v>147</v>
      </c>
      <c r="P130" t="s">
        <v>148</v>
      </c>
      <c r="Q130" t="s">
        <v>768</v>
      </c>
      <c r="R130">
        <v>178384</v>
      </c>
    </row>
    <row r="131" spans="1:18" x14ac:dyDescent="0.3">
      <c r="A131" t="s">
        <v>769</v>
      </c>
      <c r="B131" s="1">
        <v>42366</v>
      </c>
      <c r="C131" s="1">
        <v>42368</v>
      </c>
      <c r="D131" s="1">
        <v>42339</v>
      </c>
      <c r="E131" t="s">
        <v>142</v>
      </c>
      <c r="F131" t="s">
        <v>770</v>
      </c>
      <c r="G131" t="s">
        <v>771</v>
      </c>
      <c r="H131" t="s">
        <v>34</v>
      </c>
      <c r="I131" t="s">
        <v>23</v>
      </c>
      <c r="J131" t="s">
        <v>115</v>
      </c>
      <c r="K131" t="s">
        <v>116</v>
      </c>
      <c r="L131">
        <v>19143</v>
      </c>
      <c r="M131" t="s">
        <v>117</v>
      </c>
      <c r="N131" t="s">
        <v>772</v>
      </c>
      <c r="O131" t="s">
        <v>39</v>
      </c>
      <c r="P131" t="s">
        <v>103</v>
      </c>
      <c r="Q131" t="s">
        <v>773</v>
      </c>
      <c r="R131">
        <v>99136</v>
      </c>
    </row>
    <row r="132" spans="1:18" x14ac:dyDescent="0.3">
      <c r="A132" t="s">
        <v>774</v>
      </c>
      <c r="B132" s="1">
        <v>42312</v>
      </c>
      <c r="C132" s="1">
        <v>42317</v>
      </c>
      <c r="D132" s="1">
        <v>42309</v>
      </c>
      <c r="E132" t="s">
        <v>43</v>
      </c>
      <c r="F132" t="s">
        <v>775</v>
      </c>
      <c r="G132" t="s">
        <v>776</v>
      </c>
      <c r="H132" t="s">
        <v>76</v>
      </c>
      <c r="I132" t="s">
        <v>23</v>
      </c>
      <c r="J132" t="s">
        <v>206</v>
      </c>
      <c r="K132" t="s">
        <v>207</v>
      </c>
      <c r="L132">
        <v>10024</v>
      </c>
      <c r="M132" t="s">
        <v>117</v>
      </c>
      <c r="N132" t="s">
        <v>777</v>
      </c>
      <c r="O132" t="s">
        <v>28</v>
      </c>
      <c r="P132" t="s">
        <v>119</v>
      </c>
      <c r="Q132" t="s">
        <v>778</v>
      </c>
      <c r="R132">
        <v>135882</v>
      </c>
    </row>
    <row r="133" spans="1:18" x14ac:dyDescent="0.3">
      <c r="A133" t="s">
        <v>779</v>
      </c>
      <c r="B133" s="1">
        <v>42848</v>
      </c>
      <c r="C133" s="1">
        <v>42852</v>
      </c>
      <c r="D133" s="1">
        <v>42826</v>
      </c>
      <c r="E133" t="s">
        <v>43</v>
      </c>
      <c r="F133" t="s">
        <v>780</v>
      </c>
      <c r="G133" t="s">
        <v>781</v>
      </c>
      <c r="H133" t="s">
        <v>34</v>
      </c>
      <c r="I133" t="s">
        <v>23</v>
      </c>
      <c r="J133" t="s">
        <v>782</v>
      </c>
      <c r="K133" t="s">
        <v>36</v>
      </c>
      <c r="L133">
        <v>92345</v>
      </c>
      <c r="M133" t="s">
        <v>37</v>
      </c>
      <c r="N133" t="s">
        <v>783</v>
      </c>
      <c r="O133" t="s">
        <v>39</v>
      </c>
      <c r="P133" t="s">
        <v>71</v>
      </c>
      <c r="Q133" t="s">
        <v>784</v>
      </c>
      <c r="R133">
        <v>25152</v>
      </c>
    </row>
    <row r="134" spans="1:18" x14ac:dyDescent="0.3">
      <c r="A134" t="s">
        <v>785</v>
      </c>
      <c r="B134" s="1">
        <v>43407</v>
      </c>
      <c r="C134" s="1">
        <v>43409</v>
      </c>
      <c r="D134" s="1">
        <v>43405</v>
      </c>
      <c r="E134" t="s">
        <v>19</v>
      </c>
      <c r="F134" t="s">
        <v>786</v>
      </c>
      <c r="G134" t="s">
        <v>787</v>
      </c>
      <c r="H134" t="s">
        <v>34</v>
      </c>
      <c r="I134" t="s">
        <v>23</v>
      </c>
      <c r="J134" t="s">
        <v>788</v>
      </c>
      <c r="K134" t="s">
        <v>255</v>
      </c>
      <c r="L134">
        <v>37130</v>
      </c>
      <c r="M134" t="s">
        <v>26</v>
      </c>
      <c r="N134" t="s">
        <v>789</v>
      </c>
      <c r="O134" t="s">
        <v>28</v>
      </c>
      <c r="P134" t="s">
        <v>55</v>
      </c>
      <c r="Q134" t="s">
        <v>790</v>
      </c>
      <c r="R134">
        <v>15992</v>
      </c>
    </row>
    <row r="135" spans="1:18" x14ac:dyDescent="0.3">
      <c r="A135" t="s">
        <v>791</v>
      </c>
      <c r="B135" s="1">
        <v>42977</v>
      </c>
      <c r="C135" s="1">
        <v>42979</v>
      </c>
      <c r="D135" s="1">
        <v>42948</v>
      </c>
      <c r="E135" t="s">
        <v>142</v>
      </c>
      <c r="F135" t="s">
        <v>792</v>
      </c>
      <c r="G135" t="s">
        <v>793</v>
      </c>
      <c r="H135" t="s">
        <v>22</v>
      </c>
      <c r="I135" t="s">
        <v>23</v>
      </c>
      <c r="J135" t="s">
        <v>115</v>
      </c>
      <c r="K135" t="s">
        <v>116</v>
      </c>
      <c r="L135">
        <v>19143</v>
      </c>
      <c r="M135" t="s">
        <v>117</v>
      </c>
      <c r="N135" t="s">
        <v>794</v>
      </c>
      <c r="O135" t="s">
        <v>147</v>
      </c>
      <c r="P135" t="s">
        <v>148</v>
      </c>
      <c r="Q135" t="s">
        <v>795</v>
      </c>
      <c r="R135">
        <v>290898</v>
      </c>
    </row>
    <row r="136" spans="1:18" x14ac:dyDescent="0.3">
      <c r="A136" t="s">
        <v>796</v>
      </c>
      <c r="B136" s="1">
        <v>42850</v>
      </c>
      <c r="C136" s="1">
        <v>42854</v>
      </c>
      <c r="D136" s="1">
        <v>42826</v>
      </c>
      <c r="E136" t="s">
        <v>19</v>
      </c>
      <c r="F136" t="s">
        <v>797</v>
      </c>
      <c r="G136" t="s">
        <v>798</v>
      </c>
      <c r="H136" t="s">
        <v>22</v>
      </c>
      <c r="I136" t="s">
        <v>23</v>
      </c>
      <c r="J136" t="s">
        <v>115</v>
      </c>
      <c r="K136" t="s">
        <v>116</v>
      </c>
      <c r="L136">
        <v>19134</v>
      </c>
      <c r="M136" t="s">
        <v>117</v>
      </c>
      <c r="N136" t="s">
        <v>799</v>
      </c>
      <c r="O136" t="s">
        <v>147</v>
      </c>
      <c r="P136" t="s">
        <v>148</v>
      </c>
      <c r="Q136" t="s">
        <v>800</v>
      </c>
      <c r="R136">
        <v>828</v>
      </c>
    </row>
    <row r="137" spans="1:18" x14ac:dyDescent="0.3">
      <c r="A137" t="s">
        <v>801</v>
      </c>
      <c r="B137" s="1">
        <v>42614</v>
      </c>
      <c r="C137" s="1">
        <v>42617</v>
      </c>
      <c r="D137" s="1">
        <v>42614</v>
      </c>
      <c r="E137" t="s">
        <v>19</v>
      </c>
      <c r="F137" t="s">
        <v>802</v>
      </c>
      <c r="G137" t="s">
        <v>803</v>
      </c>
      <c r="H137" t="s">
        <v>22</v>
      </c>
      <c r="I137" t="s">
        <v>23</v>
      </c>
      <c r="J137" t="s">
        <v>35</v>
      </c>
      <c r="K137" t="s">
        <v>36</v>
      </c>
      <c r="L137">
        <v>90045</v>
      </c>
      <c r="M137" t="s">
        <v>37</v>
      </c>
      <c r="N137" t="s">
        <v>804</v>
      </c>
      <c r="O137" t="s">
        <v>39</v>
      </c>
      <c r="P137" t="s">
        <v>71</v>
      </c>
      <c r="Q137" t="s">
        <v>805</v>
      </c>
      <c r="R137">
        <v>4752</v>
      </c>
    </row>
    <row r="138" spans="1:18" x14ac:dyDescent="0.3">
      <c r="A138" t="s">
        <v>806</v>
      </c>
      <c r="B138" s="1">
        <v>42197</v>
      </c>
      <c r="C138" s="1">
        <v>42202</v>
      </c>
      <c r="D138" s="1">
        <v>42186</v>
      </c>
      <c r="E138" t="s">
        <v>43</v>
      </c>
      <c r="F138" t="s">
        <v>807</v>
      </c>
      <c r="G138" t="s">
        <v>808</v>
      </c>
      <c r="H138" t="s">
        <v>34</v>
      </c>
      <c r="I138" t="s">
        <v>23</v>
      </c>
      <c r="J138" t="s">
        <v>101</v>
      </c>
      <c r="K138" t="s">
        <v>36</v>
      </c>
      <c r="L138">
        <v>94122</v>
      </c>
      <c r="M138" t="s">
        <v>37</v>
      </c>
      <c r="N138" t="s">
        <v>809</v>
      </c>
      <c r="O138" t="s">
        <v>39</v>
      </c>
      <c r="P138" t="s">
        <v>71</v>
      </c>
      <c r="Q138" t="s">
        <v>810</v>
      </c>
      <c r="R138">
        <v>7712</v>
      </c>
    </row>
    <row r="139" spans="1:18" x14ac:dyDescent="0.3">
      <c r="A139" t="s">
        <v>811</v>
      </c>
      <c r="B139" s="1">
        <v>42543</v>
      </c>
      <c r="C139" s="1">
        <v>42547</v>
      </c>
      <c r="D139" s="1">
        <v>42522</v>
      </c>
      <c r="E139" t="s">
        <v>19</v>
      </c>
      <c r="F139" t="s">
        <v>812</v>
      </c>
      <c r="G139" t="s">
        <v>813</v>
      </c>
      <c r="H139" t="s">
        <v>22</v>
      </c>
      <c r="I139" t="s">
        <v>23</v>
      </c>
      <c r="J139" t="s">
        <v>814</v>
      </c>
      <c r="K139" t="s">
        <v>95</v>
      </c>
      <c r="L139">
        <v>84041</v>
      </c>
      <c r="M139" t="s">
        <v>37</v>
      </c>
      <c r="N139" t="s">
        <v>815</v>
      </c>
      <c r="O139" t="s">
        <v>39</v>
      </c>
      <c r="P139" t="s">
        <v>209</v>
      </c>
      <c r="Q139" t="s">
        <v>816</v>
      </c>
      <c r="R139">
        <v>496</v>
      </c>
    </row>
    <row r="140" spans="1:18" x14ac:dyDescent="0.3">
      <c r="A140" t="s">
        <v>817</v>
      </c>
      <c r="B140" s="1">
        <v>42107</v>
      </c>
      <c r="C140" s="1">
        <v>42111</v>
      </c>
      <c r="D140" s="1">
        <v>42095</v>
      </c>
      <c r="E140" t="s">
        <v>19</v>
      </c>
      <c r="F140" t="s">
        <v>424</v>
      </c>
      <c r="G140" t="s">
        <v>425</v>
      </c>
      <c r="H140" t="s">
        <v>34</v>
      </c>
      <c r="I140" t="s">
        <v>23</v>
      </c>
      <c r="J140" t="s">
        <v>115</v>
      </c>
      <c r="K140" t="s">
        <v>116</v>
      </c>
      <c r="L140">
        <v>19140</v>
      </c>
      <c r="M140" t="s">
        <v>117</v>
      </c>
      <c r="N140" t="s">
        <v>818</v>
      </c>
      <c r="O140" t="s">
        <v>39</v>
      </c>
      <c r="P140" t="s">
        <v>103</v>
      </c>
      <c r="Q140" t="s">
        <v>819</v>
      </c>
      <c r="R140">
        <v>17856</v>
      </c>
    </row>
    <row r="141" spans="1:18" x14ac:dyDescent="0.3">
      <c r="A141" t="s">
        <v>820</v>
      </c>
      <c r="B141" s="1">
        <v>42724</v>
      </c>
      <c r="C141" s="1">
        <v>42728</v>
      </c>
      <c r="D141" s="1">
        <v>42705</v>
      </c>
      <c r="E141" t="s">
        <v>43</v>
      </c>
      <c r="F141" t="s">
        <v>506</v>
      </c>
      <c r="G141" t="s">
        <v>507</v>
      </c>
      <c r="H141" t="s">
        <v>22</v>
      </c>
      <c r="I141" t="s">
        <v>23</v>
      </c>
      <c r="J141" t="s">
        <v>821</v>
      </c>
      <c r="K141" t="s">
        <v>78</v>
      </c>
      <c r="L141">
        <v>78745</v>
      </c>
      <c r="M141" t="s">
        <v>79</v>
      </c>
      <c r="N141" t="s">
        <v>96</v>
      </c>
      <c r="O141" t="s">
        <v>39</v>
      </c>
      <c r="P141" t="s">
        <v>89</v>
      </c>
      <c r="Q141" t="s">
        <v>97</v>
      </c>
      <c r="R141">
        <v>888</v>
      </c>
    </row>
    <row r="142" spans="1:18" x14ac:dyDescent="0.3">
      <c r="A142" t="s">
        <v>822</v>
      </c>
      <c r="B142" s="1">
        <v>43266</v>
      </c>
      <c r="C142" s="1">
        <v>43270</v>
      </c>
      <c r="D142" s="1">
        <v>43252</v>
      </c>
      <c r="E142" t="s">
        <v>43</v>
      </c>
      <c r="F142" t="s">
        <v>823</v>
      </c>
      <c r="G142" t="s">
        <v>824</v>
      </c>
      <c r="H142" t="s">
        <v>22</v>
      </c>
      <c r="I142" t="s">
        <v>23</v>
      </c>
      <c r="J142" t="s">
        <v>101</v>
      </c>
      <c r="K142" t="s">
        <v>36</v>
      </c>
      <c r="L142">
        <v>94122</v>
      </c>
      <c r="M142" t="s">
        <v>37</v>
      </c>
      <c r="N142" t="s">
        <v>415</v>
      </c>
      <c r="O142" t="s">
        <v>147</v>
      </c>
      <c r="P142" t="s">
        <v>148</v>
      </c>
      <c r="Q142" t="s">
        <v>416</v>
      </c>
      <c r="R142">
        <v>47976</v>
      </c>
    </row>
    <row r="143" spans="1:18" x14ac:dyDescent="0.3">
      <c r="A143" t="s">
        <v>825</v>
      </c>
      <c r="B143" s="1">
        <v>43289</v>
      </c>
      <c r="C143" s="1">
        <v>43293</v>
      </c>
      <c r="D143" s="1">
        <v>43282</v>
      </c>
      <c r="E143" t="s">
        <v>43</v>
      </c>
      <c r="F143" t="s">
        <v>826</v>
      </c>
      <c r="G143" t="s">
        <v>827</v>
      </c>
      <c r="H143" t="s">
        <v>22</v>
      </c>
      <c r="I143" t="s">
        <v>23</v>
      </c>
      <c r="J143" t="s">
        <v>828</v>
      </c>
      <c r="K143" t="s">
        <v>829</v>
      </c>
      <c r="L143">
        <v>1852</v>
      </c>
      <c r="M143" t="s">
        <v>117</v>
      </c>
      <c r="N143" t="s">
        <v>830</v>
      </c>
      <c r="O143" t="s">
        <v>39</v>
      </c>
      <c r="P143" t="s">
        <v>103</v>
      </c>
      <c r="Q143" t="s">
        <v>831</v>
      </c>
      <c r="R143">
        <v>756</v>
      </c>
    </row>
    <row r="144" spans="1:18" x14ac:dyDescent="0.3">
      <c r="A144" t="s">
        <v>832</v>
      </c>
      <c r="B144" s="1">
        <v>42979</v>
      </c>
      <c r="C144" s="1">
        <v>42981</v>
      </c>
      <c r="D144" s="1">
        <v>42979</v>
      </c>
      <c r="E144" t="s">
        <v>142</v>
      </c>
      <c r="F144" t="s">
        <v>833</v>
      </c>
      <c r="G144" t="s">
        <v>834</v>
      </c>
      <c r="H144" t="s">
        <v>76</v>
      </c>
      <c r="I144" t="s">
        <v>23</v>
      </c>
      <c r="J144" t="s">
        <v>206</v>
      </c>
      <c r="K144" t="s">
        <v>207</v>
      </c>
      <c r="L144">
        <v>10009</v>
      </c>
      <c r="M144" t="s">
        <v>117</v>
      </c>
      <c r="N144" t="s">
        <v>835</v>
      </c>
      <c r="O144" t="s">
        <v>147</v>
      </c>
      <c r="P144" t="s">
        <v>180</v>
      </c>
      <c r="Q144" t="s">
        <v>836</v>
      </c>
      <c r="R144">
        <v>679</v>
      </c>
    </row>
    <row r="145" spans="1:18" x14ac:dyDescent="0.3">
      <c r="A145" t="s">
        <v>837</v>
      </c>
      <c r="B145" s="1">
        <v>42833</v>
      </c>
      <c r="C145" s="1">
        <v>42838</v>
      </c>
      <c r="D145" s="1">
        <v>42826</v>
      </c>
      <c r="E145" t="s">
        <v>43</v>
      </c>
      <c r="F145" t="s">
        <v>838</v>
      </c>
      <c r="G145" t="s">
        <v>839</v>
      </c>
      <c r="H145" t="s">
        <v>22</v>
      </c>
      <c r="I145" t="s">
        <v>23</v>
      </c>
      <c r="J145" t="s">
        <v>206</v>
      </c>
      <c r="K145" t="s">
        <v>207</v>
      </c>
      <c r="L145">
        <v>10035</v>
      </c>
      <c r="M145" t="s">
        <v>117</v>
      </c>
      <c r="N145" t="s">
        <v>840</v>
      </c>
      <c r="O145" t="s">
        <v>28</v>
      </c>
      <c r="P145" t="s">
        <v>29</v>
      </c>
      <c r="Q145" t="s">
        <v>841</v>
      </c>
      <c r="R145">
        <v>388704</v>
      </c>
    </row>
    <row r="146" spans="1:18" x14ac:dyDescent="0.3">
      <c r="A146" t="s">
        <v>842</v>
      </c>
      <c r="B146" s="1">
        <v>43167</v>
      </c>
      <c r="C146" s="1">
        <v>43170</v>
      </c>
      <c r="D146" s="1">
        <v>43160</v>
      </c>
      <c r="E146" t="s">
        <v>142</v>
      </c>
      <c r="F146" t="s">
        <v>843</v>
      </c>
      <c r="G146" t="s">
        <v>844</v>
      </c>
      <c r="H146" t="s">
        <v>34</v>
      </c>
      <c r="I146" t="s">
        <v>23</v>
      </c>
      <c r="J146" t="s">
        <v>376</v>
      </c>
      <c r="K146" t="s">
        <v>845</v>
      </c>
      <c r="L146">
        <v>31907</v>
      </c>
      <c r="M146" t="s">
        <v>26</v>
      </c>
      <c r="N146" t="s">
        <v>846</v>
      </c>
      <c r="O146" t="s">
        <v>39</v>
      </c>
      <c r="P146" t="s">
        <v>81</v>
      </c>
      <c r="Q146" t="s">
        <v>847</v>
      </c>
      <c r="R146">
        <v>64784</v>
      </c>
    </row>
    <row r="147" spans="1:18" x14ac:dyDescent="0.3">
      <c r="A147" t="s">
        <v>848</v>
      </c>
      <c r="B147" s="1">
        <v>43368</v>
      </c>
      <c r="C147" s="1">
        <v>43374</v>
      </c>
      <c r="D147" s="1">
        <v>43344</v>
      </c>
      <c r="E147" t="s">
        <v>43</v>
      </c>
      <c r="F147" t="s">
        <v>849</v>
      </c>
      <c r="G147" t="s">
        <v>850</v>
      </c>
      <c r="H147" t="s">
        <v>22</v>
      </c>
      <c r="I147" t="s">
        <v>23</v>
      </c>
      <c r="J147" t="s">
        <v>206</v>
      </c>
      <c r="K147" t="s">
        <v>207</v>
      </c>
      <c r="L147">
        <v>10009</v>
      </c>
      <c r="M147" t="s">
        <v>117</v>
      </c>
      <c r="N147" t="s">
        <v>851</v>
      </c>
      <c r="O147" t="s">
        <v>39</v>
      </c>
      <c r="P147" t="s">
        <v>40</v>
      </c>
      <c r="Q147" t="s">
        <v>852</v>
      </c>
      <c r="R147">
        <v>207</v>
      </c>
    </row>
    <row r="148" spans="1:18" x14ac:dyDescent="0.3">
      <c r="A148" t="s">
        <v>853</v>
      </c>
      <c r="B148" s="1">
        <v>42271</v>
      </c>
      <c r="C148" s="1">
        <v>42276</v>
      </c>
      <c r="D148" s="1">
        <v>42248</v>
      </c>
      <c r="E148" t="s">
        <v>43</v>
      </c>
      <c r="F148" t="s">
        <v>854</v>
      </c>
      <c r="G148" t="s">
        <v>855</v>
      </c>
      <c r="H148" t="s">
        <v>22</v>
      </c>
      <c r="I148" t="s">
        <v>23</v>
      </c>
      <c r="J148" t="s">
        <v>101</v>
      </c>
      <c r="K148" t="s">
        <v>36</v>
      </c>
      <c r="L148">
        <v>94109</v>
      </c>
      <c r="M148" t="s">
        <v>37</v>
      </c>
      <c r="N148" t="s">
        <v>187</v>
      </c>
      <c r="O148" t="s">
        <v>39</v>
      </c>
      <c r="P148" t="s">
        <v>89</v>
      </c>
      <c r="Q148" t="s">
        <v>188</v>
      </c>
      <c r="R148">
        <v>21196</v>
      </c>
    </row>
    <row r="149" spans="1:18" x14ac:dyDescent="0.3">
      <c r="A149" t="s">
        <v>856</v>
      </c>
      <c r="B149" s="1">
        <v>43029</v>
      </c>
      <c r="C149" s="1">
        <v>43029</v>
      </c>
      <c r="D149" s="1">
        <v>43009</v>
      </c>
      <c r="E149" t="s">
        <v>857</v>
      </c>
      <c r="F149" t="s">
        <v>858</v>
      </c>
      <c r="G149" t="s">
        <v>859</v>
      </c>
      <c r="H149" t="s">
        <v>34</v>
      </c>
      <c r="I149" t="s">
        <v>23</v>
      </c>
      <c r="J149" t="s">
        <v>860</v>
      </c>
      <c r="K149" t="s">
        <v>539</v>
      </c>
      <c r="L149">
        <v>6040</v>
      </c>
      <c r="M149" t="s">
        <v>117</v>
      </c>
      <c r="N149" t="s">
        <v>861</v>
      </c>
      <c r="O149" t="s">
        <v>39</v>
      </c>
      <c r="P149" t="s">
        <v>71</v>
      </c>
      <c r="Q149" t="s">
        <v>862</v>
      </c>
      <c r="R149">
        <v>232</v>
      </c>
    </row>
    <row r="150" spans="1:18" x14ac:dyDescent="0.3">
      <c r="A150" t="s">
        <v>863</v>
      </c>
      <c r="B150" s="1">
        <v>43249</v>
      </c>
      <c r="C150" s="1">
        <v>43255</v>
      </c>
      <c r="D150" s="1">
        <v>43221</v>
      </c>
      <c r="E150" t="s">
        <v>43</v>
      </c>
      <c r="F150" t="s">
        <v>864</v>
      </c>
      <c r="G150" t="s">
        <v>865</v>
      </c>
      <c r="H150" t="s">
        <v>22</v>
      </c>
      <c r="I150" t="s">
        <v>23</v>
      </c>
      <c r="J150" t="s">
        <v>866</v>
      </c>
      <c r="K150" t="s">
        <v>78</v>
      </c>
      <c r="L150">
        <v>78550</v>
      </c>
      <c r="M150" t="s">
        <v>79</v>
      </c>
      <c r="N150" t="s">
        <v>867</v>
      </c>
      <c r="O150" t="s">
        <v>39</v>
      </c>
      <c r="P150" t="s">
        <v>63</v>
      </c>
      <c r="Q150" t="s">
        <v>868</v>
      </c>
      <c r="R150">
        <v>2592</v>
      </c>
    </row>
    <row r="151" spans="1:18" x14ac:dyDescent="0.3">
      <c r="A151" t="s">
        <v>869</v>
      </c>
      <c r="B151" s="1">
        <v>42208</v>
      </c>
      <c r="C151" s="1">
        <v>42212</v>
      </c>
      <c r="D151" s="1">
        <v>42186</v>
      </c>
      <c r="E151" t="s">
        <v>43</v>
      </c>
      <c r="F151" t="s">
        <v>870</v>
      </c>
      <c r="G151" t="s">
        <v>871</v>
      </c>
      <c r="H151" t="s">
        <v>22</v>
      </c>
      <c r="I151" t="s">
        <v>23</v>
      </c>
      <c r="J151" t="s">
        <v>872</v>
      </c>
      <c r="K151" t="s">
        <v>232</v>
      </c>
      <c r="L151">
        <v>85705</v>
      </c>
      <c r="M151" t="s">
        <v>37</v>
      </c>
      <c r="N151" t="s">
        <v>873</v>
      </c>
      <c r="O151" t="s">
        <v>39</v>
      </c>
      <c r="P151" t="s">
        <v>71</v>
      </c>
      <c r="Q151" t="s">
        <v>874</v>
      </c>
      <c r="R151">
        <v>816</v>
      </c>
    </row>
    <row r="152" spans="1:18" x14ac:dyDescent="0.3">
      <c r="A152" t="s">
        <v>875</v>
      </c>
      <c r="B152" s="1">
        <v>43006</v>
      </c>
      <c r="C152" s="1">
        <v>43009</v>
      </c>
      <c r="D152" s="1">
        <v>42979</v>
      </c>
      <c r="E152" t="s">
        <v>142</v>
      </c>
      <c r="F152" t="s">
        <v>876</v>
      </c>
      <c r="G152" t="s">
        <v>877</v>
      </c>
      <c r="H152" t="s">
        <v>34</v>
      </c>
      <c r="I152" t="s">
        <v>23</v>
      </c>
      <c r="J152" t="s">
        <v>878</v>
      </c>
      <c r="K152" t="s">
        <v>160</v>
      </c>
      <c r="L152">
        <v>62301</v>
      </c>
      <c r="M152" t="s">
        <v>79</v>
      </c>
      <c r="N152" t="s">
        <v>879</v>
      </c>
      <c r="O152" t="s">
        <v>39</v>
      </c>
      <c r="P152" t="s">
        <v>63</v>
      </c>
      <c r="Q152" t="s">
        <v>880</v>
      </c>
      <c r="R152">
        <v>99136</v>
      </c>
    </row>
    <row r="153" spans="1:18" x14ac:dyDescent="0.3">
      <c r="A153" t="s">
        <v>881</v>
      </c>
      <c r="B153" s="1">
        <v>43339</v>
      </c>
      <c r="C153" s="1">
        <v>43344</v>
      </c>
      <c r="D153" s="1">
        <v>43313</v>
      </c>
      <c r="E153" t="s">
        <v>43</v>
      </c>
      <c r="F153" t="s">
        <v>882</v>
      </c>
      <c r="G153" t="s">
        <v>883</v>
      </c>
      <c r="H153" t="s">
        <v>34</v>
      </c>
      <c r="I153" t="s">
        <v>23</v>
      </c>
      <c r="J153" t="s">
        <v>596</v>
      </c>
      <c r="K153" t="s">
        <v>829</v>
      </c>
      <c r="L153">
        <v>2038</v>
      </c>
      <c r="M153" t="s">
        <v>117</v>
      </c>
      <c r="N153" t="s">
        <v>884</v>
      </c>
      <c r="O153" t="s">
        <v>28</v>
      </c>
      <c r="P153" t="s">
        <v>49</v>
      </c>
      <c r="Q153" t="s">
        <v>885</v>
      </c>
      <c r="R153">
        <v>1488424</v>
      </c>
    </row>
    <row r="154" spans="1:18" x14ac:dyDescent="0.3">
      <c r="A154" t="s">
        <v>886</v>
      </c>
      <c r="B154" s="1">
        <v>42488</v>
      </c>
      <c r="C154" s="1">
        <v>42495</v>
      </c>
      <c r="D154" s="1">
        <v>42461</v>
      </c>
      <c r="E154" t="s">
        <v>43</v>
      </c>
      <c r="F154" t="s">
        <v>887</v>
      </c>
      <c r="G154" t="s">
        <v>888</v>
      </c>
      <c r="H154" t="s">
        <v>22</v>
      </c>
      <c r="I154" t="s">
        <v>23</v>
      </c>
      <c r="J154" t="s">
        <v>138</v>
      </c>
      <c r="K154" t="s">
        <v>78</v>
      </c>
      <c r="L154">
        <v>77095</v>
      </c>
      <c r="M154" t="s">
        <v>79</v>
      </c>
      <c r="N154" t="s">
        <v>889</v>
      </c>
      <c r="O154" t="s">
        <v>39</v>
      </c>
      <c r="P154" t="s">
        <v>81</v>
      </c>
      <c r="Q154" t="s">
        <v>890</v>
      </c>
      <c r="R154">
        <v>8652</v>
      </c>
    </row>
    <row r="155" spans="1:18" x14ac:dyDescent="0.3">
      <c r="A155" t="s">
        <v>891</v>
      </c>
      <c r="B155" s="1">
        <v>42547</v>
      </c>
      <c r="C155" s="1">
        <v>42550</v>
      </c>
      <c r="D155" s="1">
        <v>42522</v>
      </c>
      <c r="E155" t="s">
        <v>19</v>
      </c>
      <c r="F155" t="s">
        <v>892</v>
      </c>
      <c r="G155" t="s">
        <v>893</v>
      </c>
      <c r="H155" t="s">
        <v>34</v>
      </c>
      <c r="I155" t="s">
        <v>23</v>
      </c>
      <c r="J155" t="s">
        <v>748</v>
      </c>
      <c r="K155" t="s">
        <v>186</v>
      </c>
      <c r="L155">
        <v>48180</v>
      </c>
      <c r="M155" t="s">
        <v>79</v>
      </c>
      <c r="N155" t="s">
        <v>894</v>
      </c>
      <c r="O155" t="s">
        <v>147</v>
      </c>
      <c r="P155" t="s">
        <v>180</v>
      </c>
      <c r="Q155" t="s">
        <v>895</v>
      </c>
      <c r="R155">
        <v>419</v>
      </c>
    </row>
    <row r="156" spans="1:18" x14ac:dyDescent="0.3">
      <c r="A156" t="s">
        <v>896</v>
      </c>
      <c r="B156" s="1">
        <v>42701</v>
      </c>
      <c r="C156" s="1">
        <v>42706</v>
      </c>
      <c r="D156" s="1">
        <v>42675</v>
      </c>
      <c r="E156" t="s">
        <v>43</v>
      </c>
      <c r="F156" t="s">
        <v>897</v>
      </c>
      <c r="G156" t="s">
        <v>898</v>
      </c>
      <c r="H156" t="s">
        <v>22</v>
      </c>
      <c r="I156" t="s">
        <v>23</v>
      </c>
      <c r="J156" t="s">
        <v>899</v>
      </c>
      <c r="K156" t="s">
        <v>47</v>
      </c>
      <c r="L156">
        <v>33024</v>
      </c>
      <c r="M156" t="s">
        <v>26</v>
      </c>
      <c r="N156" t="s">
        <v>900</v>
      </c>
      <c r="O156" t="s">
        <v>28</v>
      </c>
      <c r="P156" t="s">
        <v>49</v>
      </c>
      <c r="Q156" t="s">
        <v>901</v>
      </c>
      <c r="R156">
        <v>3754575</v>
      </c>
    </row>
    <row r="157" spans="1:18" x14ac:dyDescent="0.3">
      <c r="A157" t="s">
        <v>902</v>
      </c>
      <c r="B157" s="1">
        <v>42707</v>
      </c>
      <c r="C157" s="1">
        <v>42711</v>
      </c>
      <c r="D157" s="1">
        <v>42705</v>
      </c>
      <c r="E157" t="s">
        <v>43</v>
      </c>
      <c r="F157" t="s">
        <v>903</v>
      </c>
      <c r="G157" t="s">
        <v>904</v>
      </c>
      <c r="H157" t="s">
        <v>34</v>
      </c>
      <c r="I157" t="s">
        <v>23</v>
      </c>
      <c r="J157" t="s">
        <v>115</v>
      </c>
      <c r="K157" t="s">
        <v>116</v>
      </c>
      <c r="L157">
        <v>19140</v>
      </c>
      <c r="M157" t="s">
        <v>117</v>
      </c>
      <c r="N157" t="s">
        <v>905</v>
      </c>
      <c r="O157" t="s">
        <v>147</v>
      </c>
      <c r="P157" t="s">
        <v>680</v>
      </c>
      <c r="Q157" t="s">
        <v>906</v>
      </c>
      <c r="R157">
        <v>48234</v>
      </c>
    </row>
    <row r="158" spans="1:18" x14ac:dyDescent="0.3">
      <c r="A158" t="s">
        <v>907</v>
      </c>
      <c r="B158" s="1">
        <v>42332</v>
      </c>
      <c r="C158" s="1">
        <v>42334</v>
      </c>
      <c r="D158" s="1">
        <v>42309</v>
      </c>
      <c r="E158" t="s">
        <v>142</v>
      </c>
      <c r="F158" t="s">
        <v>908</v>
      </c>
      <c r="G158" t="s">
        <v>909</v>
      </c>
      <c r="H158" t="s">
        <v>22</v>
      </c>
      <c r="I158" t="s">
        <v>23</v>
      </c>
      <c r="J158" t="s">
        <v>910</v>
      </c>
      <c r="K158" t="s">
        <v>377</v>
      </c>
      <c r="L158">
        <v>45231</v>
      </c>
      <c r="M158" t="s">
        <v>117</v>
      </c>
      <c r="N158" t="s">
        <v>911</v>
      </c>
      <c r="O158" t="s">
        <v>39</v>
      </c>
      <c r="P158" t="s">
        <v>103</v>
      </c>
      <c r="Q158" t="s">
        <v>912</v>
      </c>
      <c r="R158">
        <v>2624</v>
      </c>
    </row>
    <row r="159" spans="1:18" x14ac:dyDescent="0.3">
      <c r="A159" t="s">
        <v>913</v>
      </c>
      <c r="B159" s="1">
        <v>43445</v>
      </c>
      <c r="C159" s="1">
        <v>43449</v>
      </c>
      <c r="D159" s="1">
        <v>43435</v>
      </c>
      <c r="E159" t="s">
        <v>43</v>
      </c>
      <c r="F159" t="s">
        <v>914</v>
      </c>
      <c r="G159" t="s">
        <v>915</v>
      </c>
      <c r="H159" t="s">
        <v>22</v>
      </c>
      <c r="I159" t="s">
        <v>23</v>
      </c>
      <c r="J159" t="s">
        <v>206</v>
      </c>
      <c r="K159" t="s">
        <v>207</v>
      </c>
      <c r="L159">
        <v>10009</v>
      </c>
      <c r="M159" t="s">
        <v>117</v>
      </c>
      <c r="N159" t="s">
        <v>916</v>
      </c>
      <c r="O159" t="s">
        <v>39</v>
      </c>
      <c r="P159" t="s">
        <v>71</v>
      </c>
      <c r="Q159" t="s">
        <v>917</v>
      </c>
      <c r="R159">
        <v>2336</v>
      </c>
    </row>
    <row r="160" spans="1:18" x14ac:dyDescent="0.3">
      <c r="A160" t="s">
        <v>918</v>
      </c>
      <c r="B160" s="1">
        <v>42268</v>
      </c>
      <c r="C160" s="1">
        <v>42270</v>
      </c>
      <c r="D160" s="1">
        <v>42248</v>
      </c>
      <c r="E160" t="s">
        <v>19</v>
      </c>
      <c r="F160" t="s">
        <v>919</v>
      </c>
      <c r="G160" t="s">
        <v>920</v>
      </c>
      <c r="H160" t="s">
        <v>22</v>
      </c>
      <c r="I160" t="s">
        <v>23</v>
      </c>
      <c r="J160" t="s">
        <v>921</v>
      </c>
      <c r="K160" t="s">
        <v>69</v>
      </c>
      <c r="L160">
        <v>98198</v>
      </c>
      <c r="M160" t="s">
        <v>37</v>
      </c>
      <c r="N160" t="s">
        <v>922</v>
      </c>
      <c r="O160" t="s">
        <v>147</v>
      </c>
      <c r="P160" t="s">
        <v>148</v>
      </c>
      <c r="Q160" t="s">
        <v>923</v>
      </c>
      <c r="R160">
        <v>246384</v>
      </c>
    </row>
    <row r="161" spans="1:18" x14ac:dyDescent="0.3">
      <c r="A161" t="s">
        <v>924</v>
      </c>
      <c r="B161" s="1">
        <v>42162</v>
      </c>
      <c r="C161" s="1">
        <v>42165</v>
      </c>
      <c r="D161" s="1">
        <v>42156</v>
      </c>
      <c r="E161" t="s">
        <v>19</v>
      </c>
      <c r="F161" t="s">
        <v>925</v>
      </c>
      <c r="G161" t="s">
        <v>926</v>
      </c>
      <c r="H161" t="s">
        <v>34</v>
      </c>
      <c r="I161" t="s">
        <v>23</v>
      </c>
      <c r="J161" t="s">
        <v>927</v>
      </c>
      <c r="K161" t="s">
        <v>160</v>
      </c>
      <c r="L161">
        <v>61604</v>
      </c>
      <c r="M161" t="s">
        <v>79</v>
      </c>
      <c r="N161" t="s">
        <v>928</v>
      </c>
      <c r="O161" t="s">
        <v>39</v>
      </c>
      <c r="P161" t="s">
        <v>71</v>
      </c>
      <c r="Q161" t="s">
        <v>929</v>
      </c>
      <c r="R161">
        <v>12462</v>
      </c>
    </row>
    <row r="162" spans="1:18" x14ac:dyDescent="0.3">
      <c r="A162" t="s">
        <v>930</v>
      </c>
      <c r="B162" s="1">
        <v>43281</v>
      </c>
      <c r="C162" s="1">
        <v>43286</v>
      </c>
      <c r="D162" s="1">
        <v>43252</v>
      </c>
      <c r="E162" t="s">
        <v>43</v>
      </c>
      <c r="F162" t="s">
        <v>931</v>
      </c>
      <c r="G162" t="s">
        <v>932</v>
      </c>
      <c r="H162" t="s">
        <v>76</v>
      </c>
      <c r="I162" t="s">
        <v>23</v>
      </c>
      <c r="J162" t="s">
        <v>933</v>
      </c>
      <c r="K162" t="s">
        <v>934</v>
      </c>
      <c r="L162">
        <v>89115</v>
      </c>
      <c r="M162" t="s">
        <v>37</v>
      </c>
      <c r="N162" t="s">
        <v>935</v>
      </c>
      <c r="O162" t="s">
        <v>39</v>
      </c>
      <c r="P162" t="s">
        <v>71</v>
      </c>
      <c r="Q162" t="s">
        <v>936</v>
      </c>
      <c r="R162">
        <v>75792</v>
      </c>
    </row>
    <row r="163" spans="1:18" x14ac:dyDescent="0.3">
      <c r="A163" t="s">
        <v>937</v>
      </c>
      <c r="B163" s="1">
        <v>43390</v>
      </c>
      <c r="C163" s="1">
        <v>43392</v>
      </c>
      <c r="D163" s="1">
        <v>43374</v>
      </c>
      <c r="E163" t="s">
        <v>19</v>
      </c>
      <c r="F163" t="s">
        <v>938</v>
      </c>
      <c r="G163" t="s">
        <v>939</v>
      </c>
      <c r="H163" t="s">
        <v>34</v>
      </c>
      <c r="I163" t="s">
        <v>23</v>
      </c>
      <c r="J163" t="s">
        <v>940</v>
      </c>
      <c r="K163" t="s">
        <v>941</v>
      </c>
      <c r="L163">
        <v>2886</v>
      </c>
      <c r="M163" t="s">
        <v>117</v>
      </c>
      <c r="N163" t="s">
        <v>942</v>
      </c>
      <c r="O163" t="s">
        <v>39</v>
      </c>
      <c r="P163" t="s">
        <v>89</v>
      </c>
      <c r="Q163" t="s">
        <v>943</v>
      </c>
      <c r="R163">
        <v>4996</v>
      </c>
    </row>
    <row r="164" spans="1:18" x14ac:dyDescent="0.3">
      <c r="A164" t="s">
        <v>944</v>
      </c>
      <c r="B164" s="1">
        <v>42986</v>
      </c>
      <c r="C164" s="1">
        <v>42988</v>
      </c>
      <c r="D164" s="1">
        <v>42979</v>
      </c>
      <c r="E164" t="s">
        <v>19</v>
      </c>
      <c r="F164" t="s">
        <v>945</v>
      </c>
      <c r="G164" t="s">
        <v>946</v>
      </c>
      <c r="H164" t="s">
        <v>22</v>
      </c>
      <c r="I164" t="s">
        <v>23</v>
      </c>
      <c r="J164" t="s">
        <v>138</v>
      </c>
      <c r="K164" t="s">
        <v>78</v>
      </c>
      <c r="L164">
        <v>77036</v>
      </c>
      <c r="M164" t="s">
        <v>79</v>
      </c>
      <c r="N164" t="s">
        <v>947</v>
      </c>
      <c r="O164" t="s">
        <v>39</v>
      </c>
      <c r="P164" t="s">
        <v>89</v>
      </c>
      <c r="Q164" t="s">
        <v>948</v>
      </c>
      <c r="R164">
        <v>35952</v>
      </c>
    </row>
    <row r="165" spans="1:18" x14ac:dyDescent="0.3">
      <c r="A165" t="s">
        <v>949</v>
      </c>
      <c r="B165" s="1">
        <v>42362</v>
      </c>
      <c r="C165" s="1">
        <v>42364</v>
      </c>
      <c r="D165" s="1">
        <v>42339</v>
      </c>
      <c r="E165" t="s">
        <v>142</v>
      </c>
      <c r="F165" t="s">
        <v>950</v>
      </c>
      <c r="G165" t="s">
        <v>951</v>
      </c>
      <c r="H165" t="s">
        <v>22</v>
      </c>
      <c r="I165" t="s">
        <v>23</v>
      </c>
      <c r="J165" t="s">
        <v>952</v>
      </c>
      <c r="K165" t="s">
        <v>47</v>
      </c>
      <c r="L165">
        <v>33180</v>
      </c>
      <c r="M165" t="s">
        <v>26</v>
      </c>
      <c r="N165" t="s">
        <v>953</v>
      </c>
      <c r="O165" t="s">
        <v>39</v>
      </c>
      <c r="P165" t="s">
        <v>63</v>
      </c>
      <c r="Q165" t="s">
        <v>954</v>
      </c>
      <c r="R165">
        <v>9568</v>
      </c>
    </row>
    <row r="166" spans="1:18" x14ac:dyDescent="0.3">
      <c r="A166" t="s">
        <v>955</v>
      </c>
      <c r="B166" s="1">
        <v>42110</v>
      </c>
      <c r="C166" s="1">
        <v>42114</v>
      </c>
      <c r="D166" s="1">
        <v>42095</v>
      </c>
      <c r="E166" t="s">
        <v>43</v>
      </c>
      <c r="F166" t="s">
        <v>457</v>
      </c>
      <c r="G166" t="s">
        <v>458</v>
      </c>
      <c r="H166" t="s">
        <v>34</v>
      </c>
      <c r="I166" t="s">
        <v>23</v>
      </c>
      <c r="J166" t="s">
        <v>956</v>
      </c>
      <c r="K166" t="s">
        <v>61</v>
      </c>
      <c r="L166">
        <v>28403</v>
      </c>
      <c r="M166" t="s">
        <v>26</v>
      </c>
      <c r="N166" t="s">
        <v>957</v>
      </c>
      <c r="O166" t="s">
        <v>39</v>
      </c>
      <c r="P166" t="s">
        <v>103</v>
      </c>
      <c r="Q166" t="s">
        <v>958</v>
      </c>
      <c r="R166">
        <v>39072</v>
      </c>
    </row>
    <row r="167" spans="1:18" x14ac:dyDescent="0.3">
      <c r="A167" t="s">
        <v>959</v>
      </c>
      <c r="B167" s="1">
        <v>43458</v>
      </c>
      <c r="C167" s="1">
        <v>43463</v>
      </c>
      <c r="D167" s="1">
        <v>43435</v>
      </c>
      <c r="E167" t="s">
        <v>43</v>
      </c>
      <c r="F167" t="s">
        <v>960</v>
      </c>
      <c r="G167" t="s">
        <v>961</v>
      </c>
      <c r="H167" t="s">
        <v>22</v>
      </c>
      <c r="I167" t="s">
        <v>23</v>
      </c>
      <c r="J167" t="s">
        <v>206</v>
      </c>
      <c r="K167" t="s">
        <v>207</v>
      </c>
      <c r="L167">
        <v>10024</v>
      </c>
      <c r="M167" t="s">
        <v>117</v>
      </c>
      <c r="N167" t="s">
        <v>962</v>
      </c>
      <c r="O167" t="s">
        <v>39</v>
      </c>
      <c r="P167" t="s">
        <v>81</v>
      </c>
      <c r="Q167" t="s">
        <v>963</v>
      </c>
      <c r="R167">
        <v>3591</v>
      </c>
    </row>
    <row r="168" spans="1:18" x14ac:dyDescent="0.3">
      <c r="A168" t="s">
        <v>964</v>
      </c>
      <c r="B168" s="1">
        <v>43442</v>
      </c>
      <c r="C168" s="1">
        <v>43446</v>
      </c>
      <c r="D168" s="1">
        <v>43435</v>
      </c>
      <c r="E168" t="s">
        <v>43</v>
      </c>
      <c r="F168" t="s">
        <v>965</v>
      </c>
      <c r="G168" t="s">
        <v>966</v>
      </c>
      <c r="H168" t="s">
        <v>22</v>
      </c>
      <c r="I168" t="s">
        <v>23</v>
      </c>
      <c r="J168" t="s">
        <v>101</v>
      </c>
      <c r="K168" t="s">
        <v>36</v>
      </c>
      <c r="L168">
        <v>94110</v>
      </c>
      <c r="M168" t="s">
        <v>37</v>
      </c>
      <c r="N168" t="s">
        <v>967</v>
      </c>
      <c r="O168" t="s">
        <v>147</v>
      </c>
      <c r="P168" t="s">
        <v>180</v>
      </c>
      <c r="Q168" t="s">
        <v>968</v>
      </c>
      <c r="R168">
        <v>17995</v>
      </c>
    </row>
    <row r="169" spans="1:18" x14ac:dyDescent="0.3">
      <c r="A169" t="s">
        <v>969</v>
      </c>
      <c r="B169" s="1">
        <v>42839</v>
      </c>
      <c r="C169" s="1">
        <v>42843</v>
      </c>
      <c r="D169" s="1">
        <v>42826</v>
      </c>
      <c r="E169" t="s">
        <v>43</v>
      </c>
      <c r="F169" t="s">
        <v>970</v>
      </c>
      <c r="G169" t="s">
        <v>971</v>
      </c>
      <c r="H169" t="s">
        <v>22</v>
      </c>
      <c r="I169" t="s">
        <v>23</v>
      </c>
      <c r="J169" t="s">
        <v>35</v>
      </c>
      <c r="K169" t="s">
        <v>36</v>
      </c>
      <c r="L169">
        <v>90004</v>
      </c>
      <c r="M169" t="s">
        <v>37</v>
      </c>
      <c r="N169" t="s">
        <v>972</v>
      </c>
      <c r="O169" t="s">
        <v>28</v>
      </c>
      <c r="P169" t="s">
        <v>119</v>
      </c>
      <c r="Q169" t="s">
        <v>973</v>
      </c>
      <c r="R169">
        <v>3838</v>
      </c>
    </row>
    <row r="170" spans="1:18" x14ac:dyDescent="0.3">
      <c r="A170" t="s">
        <v>974</v>
      </c>
      <c r="B170" s="1">
        <v>43163</v>
      </c>
      <c r="C170" s="1">
        <v>43168</v>
      </c>
      <c r="D170" s="1">
        <v>43160</v>
      </c>
      <c r="E170" t="s">
        <v>43</v>
      </c>
      <c r="F170" t="s">
        <v>770</v>
      </c>
      <c r="G170" t="s">
        <v>771</v>
      </c>
      <c r="H170" t="s">
        <v>34</v>
      </c>
      <c r="I170" t="s">
        <v>23</v>
      </c>
      <c r="J170" t="s">
        <v>35</v>
      </c>
      <c r="K170" t="s">
        <v>36</v>
      </c>
      <c r="L170">
        <v>90045</v>
      </c>
      <c r="M170" t="s">
        <v>37</v>
      </c>
      <c r="N170" t="s">
        <v>975</v>
      </c>
      <c r="O170" t="s">
        <v>39</v>
      </c>
      <c r="P170" t="s">
        <v>103</v>
      </c>
      <c r="Q170" t="s">
        <v>976</v>
      </c>
      <c r="R170">
        <v>932</v>
      </c>
    </row>
    <row r="171" spans="1:18" x14ac:dyDescent="0.3">
      <c r="A171" t="s">
        <v>977</v>
      </c>
      <c r="B171" s="1">
        <v>42177</v>
      </c>
      <c r="C171" s="1">
        <v>42180</v>
      </c>
      <c r="D171" s="1">
        <v>42156</v>
      </c>
      <c r="E171" t="s">
        <v>142</v>
      </c>
      <c r="F171" t="s">
        <v>252</v>
      </c>
      <c r="G171" t="s">
        <v>253</v>
      </c>
      <c r="H171" t="s">
        <v>22</v>
      </c>
      <c r="I171" t="s">
        <v>23</v>
      </c>
      <c r="J171" t="s">
        <v>978</v>
      </c>
      <c r="K171" t="s">
        <v>346</v>
      </c>
      <c r="L171">
        <v>80027</v>
      </c>
      <c r="M171" t="s">
        <v>37</v>
      </c>
      <c r="N171" t="s">
        <v>979</v>
      </c>
      <c r="O171" t="s">
        <v>147</v>
      </c>
      <c r="P171" t="s">
        <v>180</v>
      </c>
      <c r="Q171" t="s">
        <v>980</v>
      </c>
      <c r="R171">
        <v>196752</v>
      </c>
    </row>
    <row r="172" spans="1:18" x14ac:dyDescent="0.3">
      <c r="A172" t="s">
        <v>981</v>
      </c>
      <c r="B172" s="1">
        <v>43333</v>
      </c>
      <c r="C172" s="1">
        <v>43335</v>
      </c>
      <c r="D172" s="1">
        <v>43313</v>
      </c>
      <c r="E172" t="s">
        <v>19</v>
      </c>
      <c r="F172" t="s">
        <v>982</v>
      </c>
      <c r="G172" t="s">
        <v>983</v>
      </c>
      <c r="H172" t="s">
        <v>22</v>
      </c>
      <c r="I172" t="s">
        <v>23</v>
      </c>
      <c r="J172" t="s">
        <v>248</v>
      </c>
      <c r="K172" t="s">
        <v>984</v>
      </c>
      <c r="L172">
        <v>39212</v>
      </c>
      <c r="M172" t="s">
        <v>26</v>
      </c>
      <c r="N172" t="s">
        <v>985</v>
      </c>
      <c r="O172" t="s">
        <v>28</v>
      </c>
      <c r="P172" t="s">
        <v>119</v>
      </c>
      <c r="Q172" t="s">
        <v>986</v>
      </c>
      <c r="R172">
        <v>8664</v>
      </c>
    </row>
    <row r="173" spans="1:18" x14ac:dyDescent="0.3">
      <c r="A173" t="s">
        <v>987</v>
      </c>
      <c r="B173" s="1">
        <v>42259</v>
      </c>
      <c r="C173" s="1">
        <v>42260</v>
      </c>
      <c r="D173" s="1">
        <v>42248</v>
      </c>
      <c r="E173" t="s">
        <v>142</v>
      </c>
      <c r="F173" t="s">
        <v>988</v>
      </c>
      <c r="G173" t="s">
        <v>989</v>
      </c>
      <c r="H173" t="s">
        <v>76</v>
      </c>
      <c r="I173" t="s">
        <v>23</v>
      </c>
      <c r="J173" t="s">
        <v>990</v>
      </c>
      <c r="K173" t="s">
        <v>207</v>
      </c>
      <c r="L173">
        <v>10801</v>
      </c>
      <c r="M173" t="s">
        <v>117</v>
      </c>
      <c r="N173" t="s">
        <v>991</v>
      </c>
      <c r="O173" t="s">
        <v>147</v>
      </c>
      <c r="P173" t="s">
        <v>680</v>
      </c>
      <c r="Q173" t="s">
        <v>992</v>
      </c>
      <c r="R173">
        <v>6999</v>
      </c>
    </row>
    <row r="174" spans="1:18" x14ac:dyDescent="0.3">
      <c r="A174" t="s">
        <v>993</v>
      </c>
      <c r="B174" s="1">
        <v>43374</v>
      </c>
      <c r="C174" s="1">
        <v>43381</v>
      </c>
      <c r="D174" s="1">
        <v>43374</v>
      </c>
      <c r="E174" t="s">
        <v>43</v>
      </c>
      <c r="F174" t="s">
        <v>994</v>
      </c>
      <c r="G174" t="s">
        <v>995</v>
      </c>
      <c r="H174" t="s">
        <v>34</v>
      </c>
      <c r="I174" t="s">
        <v>23</v>
      </c>
      <c r="J174" t="s">
        <v>502</v>
      </c>
      <c r="K174" t="s">
        <v>78</v>
      </c>
      <c r="L174">
        <v>78207</v>
      </c>
      <c r="M174" t="s">
        <v>79</v>
      </c>
      <c r="N174" t="s">
        <v>996</v>
      </c>
      <c r="O174" t="s">
        <v>39</v>
      </c>
      <c r="P174" t="s">
        <v>103</v>
      </c>
      <c r="Q174" t="s">
        <v>997</v>
      </c>
      <c r="R174">
        <v>6672</v>
      </c>
    </row>
    <row r="175" spans="1:18" x14ac:dyDescent="0.3">
      <c r="A175" t="s">
        <v>998</v>
      </c>
      <c r="B175" s="1">
        <v>42840</v>
      </c>
      <c r="C175" s="1">
        <v>42846</v>
      </c>
      <c r="D175" s="1">
        <v>42826</v>
      </c>
      <c r="E175" t="s">
        <v>43</v>
      </c>
      <c r="F175" t="s">
        <v>999</v>
      </c>
      <c r="G175" t="s">
        <v>1000</v>
      </c>
      <c r="H175" t="s">
        <v>76</v>
      </c>
      <c r="I175" t="s">
        <v>23</v>
      </c>
      <c r="J175" t="s">
        <v>1001</v>
      </c>
      <c r="K175" t="s">
        <v>61</v>
      </c>
      <c r="L175">
        <v>28052</v>
      </c>
      <c r="M175" t="s">
        <v>26</v>
      </c>
      <c r="N175" t="s">
        <v>1002</v>
      </c>
      <c r="O175" t="s">
        <v>39</v>
      </c>
      <c r="P175" t="s">
        <v>71</v>
      </c>
      <c r="Q175" t="s">
        <v>1003</v>
      </c>
      <c r="R175">
        <v>189588</v>
      </c>
    </row>
    <row r="176" spans="1:18" x14ac:dyDescent="0.3">
      <c r="A176" t="s">
        <v>1004</v>
      </c>
      <c r="B176" s="1">
        <v>42357</v>
      </c>
      <c r="C176" s="1">
        <v>42363</v>
      </c>
      <c r="D176" s="1">
        <v>42339</v>
      </c>
      <c r="E176" t="s">
        <v>43</v>
      </c>
      <c r="F176" t="s">
        <v>1005</v>
      </c>
      <c r="G176" t="s">
        <v>1006</v>
      </c>
      <c r="H176" t="s">
        <v>22</v>
      </c>
      <c r="I176" t="s">
        <v>23</v>
      </c>
      <c r="J176" t="s">
        <v>1007</v>
      </c>
      <c r="K176" t="s">
        <v>47</v>
      </c>
      <c r="L176">
        <v>32216</v>
      </c>
      <c r="M176" t="s">
        <v>26</v>
      </c>
      <c r="N176" t="s">
        <v>1008</v>
      </c>
      <c r="O176" t="s">
        <v>39</v>
      </c>
      <c r="P176" t="s">
        <v>71</v>
      </c>
      <c r="Q176" t="s">
        <v>1009</v>
      </c>
      <c r="R176">
        <v>4812</v>
      </c>
    </row>
    <row r="177" spans="1:18" x14ac:dyDescent="0.3">
      <c r="A177" t="s">
        <v>1010</v>
      </c>
      <c r="B177" s="1">
        <v>43358</v>
      </c>
      <c r="C177" s="1">
        <v>43362</v>
      </c>
      <c r="D177" s="1">
        <v>43344</v>
      </c>
      <c r="E177" t="s">
        <v>43</v>
      </c>
      <c r="F177" t="s">
        <v>1011</v>
      </c>
      <c r="G177" t="s">
        <v>1012</v>
      </c>
      <c r="H177" t="s">
        <v>34</v>
      </c>
      <c r="I177" t="s">
        <v>23</v>
      </c>
      <c r="J177" t="s">
        <v>138</v>
      </c>
      <c r="K177" t="s">
        <v>78</v>
      </c>
      <c r="L177">
        <v>77070</v>
      </c>
      <c r="M177" t="s">
        <v>79</v>
      </c>
      <c r="N177" t="s">
        <v>1013</v>
      </c>
      <c r="O177" t="s">
        <v>39</v>
      </c>
      <c r="P177" t="s">
        <v>63</v>
      </c>
      <c r="Q177" t="s">
        <v>1014</v>
      </c>
      <c r="R177">
        <v>31872</v>
      </c>
    </row>
    <row r="178" spans="1:18" x14ac:dyDescent="0.3">
      <c r="A178" t="s">
        <v>1015</v>
      </c>
      <c r="B178" s="1">
        <v>43120</v>
      </c>
      <c r="C178" s="1">
        <v>43123</v>
      </c>
      <c r="D178" s="1">
        <v>43101</v>
      </c>
      <c r="E178" t="s">
        <v>19</v>
      </c>
      <c r="F178" t="s">
        <v>362</v>
      </c>
      <c r="G178" t="s">
        <v>363</v>
      </c>
      <c r="H178" t="s">
        <v>34</v>
      </c>
      <c r="I178" t="s">
        <v>23</v>
      </c>
      <c r="J178" t="s">
        <v>206</v>
      </c>
      <c r="K178" t="s">
        <v>207</v>
      </c>
      <c r="L178">
        <v>10024</v>
      </c>
      <c r="M178" t="s">
        <v>117</v>
      </c>
      <c r="N178" t="s">
        <v>1016</v>
      </c>
      <c r="O178" t="s">
        <v>28</v>
      </c>
      <c r="P178" t="s">
        <v>119</v>
      </c>
      <c r="Q178" t="s">
        <v>1017</v>
      </c>
      <c r="R178">
        <v>207846</v>
      </c>
    </row>
    <row r="179" spans="1:18" x14ac:dyDescent="0.3">
      <c r="A179" t="s">
        <v>1018</v>
      </c>
      <c r="B179" s="1">
        <v>43179</v>
      </c>
      <c r="C179" s="1">
        <v>43184</v>
      </c>
      <c r="D179" s="1">
        <v>43160</v>
      </c>
      <c r="E179" t="s">
        <v>19</v>
      </c>
      <c r="F179" t="s">
        <v>1019</v>
      </c>
      <c r="G179" t="s">
        <v>1020</v>
      </c>
      <c r="H179" t="s">
        <v>22</v>
      </c>
      <c r="I179" t="s">
        <v>23</v>
      </c>
      <c r="J179" t="s">
        <v>376</v>
      </c>
      <c r="K179" t="s">
        <v>200</v>
      </c>
      <c r="L179">
        <v>47201</v>
      </c>
      <c r="M179" t="s">
        <v>79</v>
      </c>
      <c r="N179" t="s">
        <v>1021</v>
      </c>
      <c r="O179" t="s">
        <v>28</v>
      </c>
      <c r="P179" t="s">
        <v>55</v>
      </c>
      <c r="Q179" t="s">
        <v>1022</v>
      </c>
      <c r="R179">
        <v>291</v>
      </c>
    </row>
    <row r="180" spans="1:18" x14ac:dyDescent="0.3">
      <c r="A180" t="s">
        <v>1023</v>
      </c>
      <c r="B180" s="1">
        <v>42826</v>
      </c>
      <c r="C180" s="1">
        <v>42828</v>
      </c>
      <c r="D180" s="1">
        <v>42826</v>
      </c>
      <c r="E180" t="s">
        <v>19</v>
      </c>
      <c r="F180" t="s">
        <v>1024</v>
      </c>
      <c r="G180" t="s">
        <v>1025</v>
      </c>
      <c r="H180" t="s">
        <v>22</v>
      </c>
      <c r="I180" t="s">
        <v>23</v>
      </c>
      <c r="J180" t="s">
        <v>1026</v>
      </c>
      <c r="K180" t="s">
        <v>207</v>
      </c>
      <c r="L180">
        <v>13021</v>
      </c>
      <c r="M180" t="s">
        <v>117</v>
      </c>
      <c r="N180" t="s">
        <v>1027</v>
      </c>
      <c r="O180" t="s">
        <v>39</v>
      </c>
      <c r="P180" t="s">
        <v>103</v>
      </c>
      <c r="Q180" t="s">
        <v>1028</v>
      </c>
      <c r="R180">
        <v>5952</v>
      </c>
    </row>
    <row r="181" spans="1:18" x14ac:dyDescent="0.3">
      <c r="A181" t="s">
        <v>1029</v>
      </c>
      <c r="B181" s="1">
        <v>43393</v>
      </c>
      <c r="C181" s="1">
        <v>43397</v>
      </c>
      <c r="D181" s="1">
        <v>43374</v>
      </c>
      <c r="E181" t="s">
        <v>43</v>
      </c>
      <c r="F181" t="s">
        <v>1030</v>
      </c>
      <c r="G181" t="s">
        <v>1031</v>
      </c>
      <c r="H181" t="s">
        <v>34</v>
      </c>
      <c r="I181" t="s">
        <v>23</v>
      </c>
      <c r="J181" t="s">
        <v>578</v>
      </c>
      <c r="K181" t="s">
        <v>377</v>
      </c>
      <c r="L181">
        <v>44312</v>
      </c>
      <c r="M181" t="s">
        <v>117</v>
      </c>
      <c r="N181" t="s">
        <v>1032</v>
      </c>
      <c r="O181" t="s">
        <v>28</v>
      </c>
      <c r="P181" t="s">
        <v>49</v>
      </c>
      <c r="Q181" t="s">
        <v>1033</v>
      </c>
      <c r="R181">
        <v>284364</v>
      </c>
    </row>
    <row r="182" spans="1:18" x14ac:dyDescent="0.3">
      <c r="A182" t="s">
        <v>1034</v>
      </c>
      <c r="B182" s="1">
        <v>43082</v>
      </c>
      <c r="C182" s="1">
        <v>43086</v>
      </c>
      <c r="D182" s="1">
        <v>43070</v>
      </c>
      <c r="E182" t="s">
        <v>43</v>
      </c>
      <c r="F182" t="s">
        <v>994</v>
      </c>
      <c r="G182" t="s">
        <v>995</v>
      </c>
      <c r="H182" t="s">
        <v>34</v>
      </c>
      <c r="I182" t="s">
        <v>23</v>
      </c>
      <c r="J182" t="s">
        <v>1035</v>
      </c>
      <c r="K182" t="s">
        <v>474</v>
      </c>
      <c r="L182">
        <v>73071</v>
      </c>
      <c r="M182" t="s">
        <v>79</v>
      </c>
      <c r="N182" t="s">
        <v>1036</v>
      </c>
      <c r="O182" t="s">
        <v>147</v>
      </c>
      <c r="P182" t="s">
        <v>180</v>
      </c>
      <c r="Q182" t="s">
        <v>1037</v>
      </c>
      <c r="R182">
        <v>6388</v>
      </c>
    </row>
    <row r="183" spans="1:18" x14ac:dyDescent="0.3">
      <c r="A183" t="s">
        <v>1038</v>
      </c>
      <c r="B183" s="1">
        <v>42047</v>
      </c>
      <c r="C183" s="1">
        <v>42053</v>
      </c>
      <c r="D183" s="1">
        <v>42036</v>
      </c>
      <c r="E183" t="s">
        <v>43</v>
      </c>
      <c r="F183" t="s">
        <v>1039</v>
      </c>
      <c r="G183" t="s">
        <v>1040</v>
      </c>
      <c r="H183" t="s">
        <v>22</v>
      </c>
      <c r="I183" t="s">
        <v>23</v>
      </c>
      <c r="J183" t="s">
        <v>60</v>
      </c>
      <c r="K183" t="s">
        <v>36</v>
      </c>
      <c r="L183">
        <v>94521</v>
      </c>
      <c r="M183" t="s">
        <v>37</v>
      </c>
      <c r="N183" t="s">
        <v>1041</v>
      </c>
      <c r="O183" t="s">
        <v>28</v>
      </c>
      <c r="P183" t="s">
        <v>119</v>
      </c>
      <c r="Q183" t="s">
        <v>1042</v>
      </c>
      <c r="R183">
        <v>129568</v>
      </c>
    </row>
    <row r="184" spans="1:18" x14ac:dyDescent="0.3">
      <c r="A184" t="s">
        <v>1043</v>
      </c>
      <c r="B184" s="1">
        <v>43004</v>
      </c>
      <c r="C184" s="1">
        <v>43009</v>
      </c>
      <c r="D184" s="1">
        <v>42979</v>
      </c>
      <c r="E184" t="s">
        <v>43</v>
      </c>
      <c r="F184" t="s">
        <v>982</v>
      </c>
      <c r="G184" t="s">
        <v>983</v>
      </c>
      <c r="H184" t="s">
        <v>22</v>
      </c>
      <c r="I184" t="s">
        <v>23</v>
      </c>
      <c r="J184" t="s">
        <v>1044</v>
      </c>
      <c r="K184" t="s">
        <v>160</v>
      </c>
      <c r="L184">
        <v>62521</v>
      </c>
      <c r="M184" t="s">
        <v>79</v>
      </c>
      <c r="N184" t="s">
        <v>1045</v>
      </c>
      <c r="O184" t="s">
        <v>28</v>
      </c>
      <c r="P184" t="s">
        <v>119</v>
      </c>
      <c r="Q184" t="s">
        <v>1046</v>
      </c>
      <c r="R184">
        <v>747558</v>
      </c>
    </row>
    <row r="185" spans="1:18" x14ac:dyDescent="0.3">
      <c r="A185" t="s">
        <v>1047</v>
      </c>
      <c r="B185" s="1">
        <v>42847</v>
      </c>
      <c r="C185" s="1">
        <v>42854</v>
      </c>
      <c r="D185" s="1">
        <v>42826</v>
      </c>
      <c r="E185" t="s">
        <v>43</v>
      </c>
      <c r="F185" t="s">
        <v>1048</v>
      </c>
      <c r="G185" t="s">
        <v>1049</v>
      </c>
      <c r="H185" t="s">
        <v>76</v>
      </c>
      <c r="I185" t="s">
        <v>23</v>
      </c>
      <c r="J185" t="s">
        <v>405</v>
      </c>
      <c r="K185" t="s">
        <v>232</v>
      </c>
      <c r="L185">
        <v>85023</v>
      </c>
      <c r="M185" t="s">
        <v>37</v>
      </c>
      <c r="N185" t="s">
        <v>1050</v>
      </c>
      <c r="O185" t="s">
        <v>28</v>
      </c>
      <c r="P185" t="s">
        <v>55</v>
      </c>
      <c r="Q185" t="s">
        <v>1051</v>
      </c>
      <c r="R185">
        <v>2356</v>
      </c>
    </row>
    <row r="186" spans="1:18" x14ac:dyDescent="0.3">
      <c r="A186" t="s">
        <v>1052</v>
      </c>
      <c r="B186" s="1">
        <v>42386</v>
      </c>
      <c r="C186" s="1">
        <v>42393</v>
      </c>
      <c r="D186" s="1">
        <v>42370</v>
      </c>
      <c r="E186" t="s">
        <v>43</v>
      </c>
      <c r="F186" t="s">
        <v>1053</v>
      </c>
      <c r="G186" t="s">
        <v>1054</v>
      </c>
      <c r="H186" t="s">
        <v>76</v>
      </c>
      <c r="I186" t="s">
        <v>23</v>
      </c>
      <c r="J186" t="s">
        <v>1055</v>
      </c>
      <c r="K186" t="s">
        <v>160</v>
      </c>
      <c r="L186">
        <v>60068</v>
      </c>
      <c r="M186" t="s">
        <v>79</v>
      </c>
      <c r="N186" t="s">
        <v>1056</v>
      </c>
      <c r="O186" t="s">
        <v>28</v>
      </c>
      <c r="P186" t="s">
        <v>55</v>
      </c>
      <c r="Q186" t="s">
        <v>1057</v>
      </c>
      <c r="R186">
        <v>254744</v>
      </c>
    </row>
    <row r="187" spans="1:18" x14ac:dyDescent="0.3">
      <c r="A187" t="s">
        <v>1058</v>
      </c>
      <c r="B187" s="1">
        <v>43190</v>
      </c>
      <c r="C187" s="1">
        <v>43194</v>
      </c>
      <c r="D187" s="1">
        <v>43160</v>
      </c>
      <c r="E187" t="s">
        <v>43</v>
      </c>
      <c r="F187" t="s">
        <v>626</v>
      </c>
      <c r="G187" t="s">
        <v>627</v>
      </c>
      <c r="H187" t="s">
        <v>34</v>
      </c>
      <c r="I187" t="s">
        <v>23</v>
      </c>
      <c r="J187" t="s">
        <v>1059</v>
      </c>
      <c r="K187" t="s">
        <v>78</v>
      </c>
      <c r="L187">
        <v>79109</v>
      </c>
      <c r="M187" t="s">
        <v>79</v>
      </c>
      <c r="N187" t="s">
        <v>1060</v>
      </c>
      <c r="O187" t="s">
        <v>28</v>
      </c>
      <c r="P187" t="s">
        <v>29</v>
      </c>
      <c r="Q187" t="s">
        <v>1061</v>
      </c>
      <c r="R187">
        <v>2053328</v>
      </c>
    </row>
    <row r="188" spans="1:18" x14ac:dyDescent="0.3">
      <c r="A188" t="s">
        <v>1062</v>
      </c>
      <c r="B188" s="1">
        <v>43085</v>
      </c>
      <c r="C188" s="1">
        <v>43089</v>
      </c>
      <c r="D188" s="1">
        <v>43070</v>
      </c>
      <c r="E188" t="s">
        <v>19</v>
      </c>
      <c r="F188" t="s">
        <v>1063</v>
      </c>
      <c r="G188" t="s">
        <v>1064</v>
      </c>
      <c r="H188" t="s">
        <v>22</v>
      </c>
      <c r="I188" t="s">
        <v>23</v>
      </c>
      <c r="J188" t="s">
        <v>225</v>
      </c>
      <c r="K188" t="s">
        <v>160</v>
      </c>
      <c r="L188">
        <v>60610</v>
      </c>
      <c r="M188" t="s">
        <v>79</v>
      </c>
      <c r="N188" t="s">
        <v>1065</v>
      </c>
      <c r="O188" t="s">
        <v>39</v>
      </c>
      <c r="P188" t="s">
        <v>71</v>
      </c>
      <c r="Q188" t="s">
        <v>1066</v>
      </c>
      <c r="R188">
        <v>4788</v>
      </c>
    </row>
    <row r="189" spans="1:18" x14ac:dyDescent="0.3">
      <c r="A189" t="s">
        <v>1067</v>
      </c>
      <c r="B189" s="1">
        <v>42317</v>
      </c>
      <c r="C189" s="1">
        <v>42319</v>
      </c>
      <c r="D189" s="1">
        <v>42309</v>
      </c>
      <c r="E189" t="s">
        <v>19</v>
      </c>
      <c r="F189" t="s">
        <v>1068</v>
      </c>
      <c r="G189" t="s">
        <v>1069</v>
      </c>
      <c r="H189" t="s">
        <v>22</v>
      </c>
      <c r="I189" t="s">
        <v>23</v>
      </c>
      <c r="J189" t="s">
        <v>101</v>
      </c>
      <c r="K189" t="s">
        <v>36</v>
      </c>
      <c r="L189">
        <v>94110</v>
      </c>
      <c r="M189" t="s">
        <v>37</v>
      </c>
      <c r="N189" t="s">
        <v>1070</v>
      </c>
      <c r="O189" t="s">
        <v>39</v>
      </c>
      <c r="P189" t="s">
        <v>89</v>
      </c>
      <c r="Q189" t="s">
        <v>1071</v>
      </c>
      <c r="R189">
        <v>34092</v>
      </c>
    </row>
    <row r="190" spans="1:18" x14ac:dyDescent="0.3">
      <c r="A190" t="s">
        <v>1072</v>
      </c>
      <c r="B190" s="1">
        <v>42928</v>
      </c>
      <c r="C190" s="1">
        <v>42935</v>
      </c>
      <c r="D190" s="1">
        <v>42917</v>
      </c>
      <c r="E190" t="s">
        <v>43</v>
      </c>
      <c r="F190" t="s">
        <v>705</v>
      </c>
      <c r="G190" t="s">
        <v>706</v>
      </c>
      <c r="H190" t="s">
        <v>34</v>
      </c>
      <c r="I190" t="s">
        <v>23</v>
      </c>
      <c r="J190" t="s">
        <v>35</v>
      </c>
      <c r="K190" t="s">
        <v>36</v>
      </c>
      <c r="L190">
        <v>90008</v>
      </c>
      <c r="M190" t="s">
        <v>37</v>
      </c>
      <c r="N190" t="s">
        <v>1073</v>
      </c>
      <c r="O190" t="s">
        <v>147</v>
      </c>
      <c r="P190" t="s">
        <v>148</v>
      </c>
      <c r="Q190" t="s">
        <v>1074</v>
      </c>
      <c r="R190">
        <v>9576</v>
      </c>
    </row>
    <row r="191" spans="1:18" x14ac:dyDescent="0.3">
      <c r="A191" t="s">
        <v>1075</v>
      </c>
      <c r="B191" s="1">
        <v>43035</v>
      </c>
      <c r="C191" s="1">
        <v>43041</v>
      </c>
      <c r="D191" s="1">
        <v>43009</v>
      </c>
      <c r="E191" t="s">
        <v>43</v>
      </c>
      <c r="F191" t="s">
        <v>1076</v>
      </c>
      <c r="G191" t="s">
        <v>1077</v>
      </c>
      <c r="H191" t="s">
        <v>22</v>
      </c>
      <c r="I191" t="s">
        <v>23</v>
      </c>
      <c r="J191" t="s">
        <v>214</v>
      </c>
      <c r="K191" t="s">
        <v>207</v>
      </c>
      <c r="L191">
        <v>12180</v>
      </c>
      <c r="M191" t="s">
        <v>117</v>
      </c>
      <c r="N191" t="s">
        <v>745</v>
      </c>
      <c r="O191" t="s">
        <v>28</v>
      </c>
      <c r="P191" t="s">
        <v>55</v>
      </c>
      <c r="Q191" t="s">
        <v>746</v>
      </c>
      <c r="R191">
        <v>402</v>
      </c>
    </row>
    <row r="192" spans="1:18" x14ac:dyDescent="0.3">
      <c r="A192" t="s">
        <v>1078</v>
      </c>
      <c r="B192" s="1">
        <v>42912</v>
      </c>
      <c r="C192" s="1">
        <v>42918</v>
      </c>
      <c r="D192" s="1">
        <v>42887</v>
      </c>
      <c r="E192" t="s">
        <v>43</v>
      </c>
      <c r="F192" t="s">
        <v>1079</v>
      </c>
      <c r="G192" t="s">
        <v>1080</v>
      </c>
      <c r="H192" t="s">
        <v>34</v>
      </c>
      <c r="I192" t="s">
        <v>23</v>
      </c>
      <c r="J192" t="s">
        <v>206</v>
      </c>
      <c r="K192" t="s">
        <v>207</v>
      </c>
      <c r="L192">
        <v>10024</v>
      </c>
      <c r="M192" t="s">
        <v>117</v>
      </c>
      <c r="N192" t="s">
        <v>1081</v>
      </c>
      <c r="O192" t="s">
        <v>39</v>
      </c>
      <c r="P192" t="s">
        <v>103</v>
      </c>
      <c r="Q192" t="s">
        <v>1082</v>
      </c>
      <c r="R192">
        <v>147</v>
      </c>
    </row>
    <row r="193" spans="1:18" x14ac:dyDescent="0.3">
      <c r="A193" t="s">
        <v>1083</v>
      </c>
      <c r="B193" s="1">
        <v>42283</v>
      </c>
      <c r="C193" s="1">
        <v>42287</v>
      </c>
      <c r="D193" s="1">
        <v>42278</v>
      </c>
      <c r="E193" t="s">
        <v>43</v>
      </c>
      <c r="F193" t="s">
        <v>1084</v>
      </c>
      <c r="G193" t="s">
        <v>1085</v>
      </c>
      <c r="H193" t="s">
        <v>22</v>
      </c>
      <c r="I193" t="s">
        <v>23</v>
      </c>
      <c r="J193" t="s">
        <v>663</v>
      </c>
      <c r="K193" t="s">
        <v>36</v>
      </c>
      <c r="L193">
        <v>92024</v>
      </c>
      <c r="M193" t="s">
        <v>37</v>
      </c>
      <c r="N193" t="s">
        <v>1086</v>
      </c>
      <c r="O193" t="s">
        <v>147</v>
      </c>
      <c r="P193" t="s">
        <v>180</v>
      </c>
      <c r="Q193" t="s">
        <v>1087</v>
      </c>
      <c r="R193">
        <v>909</v>
      </c>
    </row>
    <row r="194" spans="1:18" x14ac:dyDescent="0.3">
      <c r="A194" t="s">
        <v>1088</v>
      </c>
      <c r="B194" s="1">
        <v>42207</v>
      </c>
      <c r="C194" s="1">
        <v>42212</v>
      </c>
      <c r="D194" s="1">
        <v>42186</v>
      </c>
      <c r="E194" t="s">
        <v>43</v>
      </c>
      <c r="F194" t="s">
        <v>1089</v>
      </c>
      <c r="G194" t="s">
        <v>1090</v>
      </c>
      <c r="H194" t="s">
        <v>22</v>
      </c>
      <c r="I194" t="s">
        <v>23</v>
      </c>
      <c r="J194" t="s">
        <v>206</v>
      </c>
      <c r="K194" t="s">
        <v>207</v>
      </c>
      <c r="L194">
        <v>10024</v>
      </c>
      <c r="M194" t="s">
        <v>117</v>
      </c>
      <c r="N194" t="s">
        <v>269</v>
      </c>
      <c r="O194" t="s">
        <v>39</v>
      </c>
      <c r="P194" t="s">
        <v>103</v>
      </c>
      <c r="Q194" t="s">
        <v>270</v>
      </c>
      <c r="R194">
        <v>596</v>
      </c>
    </row>
    <row r="195" spans="1:18" x14ac:dyDescent="0.3">
      <c r="A195" t="s">
        <v>1091</v>
      </c>
      <c r="B195" s="1">
        <v>43261</v>
      </c>
      <c r="C195" s="1">
        <v>43264</v>
      </c>
      <c r="D195" s="1">
        <v>43252</v>
      </c>
      <c r="E195" t="s">
        <v>142</v>
      </c>
      <c r="F195" t="s">
        <v>1092</v>
      </c>
      <c r="G195" t="s">
        <v>1093</v>
      </c>
      <c r="H195" t="s">
        <v>76</v>
      </c>
      <c r="I195" t="s">
        <v>23</v>
      </c>
      <c r="J195" t="s">
        <v>35</v>
      </c>
      <c r="K195" t="s">
        <v>36</v>
      </c>
      <c r="L195">
        <v>90045</v>
      </c>
      <c r="M195" t="s">
        <v>37</v>
      </c>
      <c r="N195" t="s">
        <v>1094</v>
      </c>
      <c r="O195" t="s">
        <v>39</v>
      </c>
      <c r="P195" t="s">
        <v>40</v>
      </c>
      <c r="Q195" t="s">
        <v>1095</v>
      </c>
      <c r="R195">
        <v>296</v>
      </c>
    </row>
    <row r="196" spans="1:18" x14ac:dyDescent="0.3">
      <c r="A196" t="s">
        <v>1096</v>
      </c>
      <c r="B196" s="1">
        <v>42306</v>
      </c>
      <c r="C196" s="1">
        <v>42308</v>
      </c>
      <c r="D196" s="1">
        <v>42278</v>
      </c>
      <c r="E196" t="s">
        <v>142</v>
      </c>
      <c r="F196" t="s">
        <v>1097</v>
      </c>
      <c r="G196" t="s">
        <v>1098</v>
      </c>
      <c r="H196" t="s">
        <v>22</v>
      </c>
      <c r="I196" t="s">
        <v>23</v>
      </c>
      <c r="J196" t="s">
        <v>225</v>
      </c>
      <c r="K196" t="s">
        <v>160</v>
      </c>
      <c r="L196">
        <v>60610</v>
      </c>
      <c r="M196" t="s">
        <v>79</v>
      </c>
      <c r="N196" t="s">
        <v>1099</v>
      </c>
      <c r="O196" t="s">
        <v>147</v>
      </c>
      <c r="P196" t="s">
        <v>148</v>
      </c>
      <c r="Q196" t="s">
        <v>1100</v>
      </c>
      <c r="R196">
        <v>2735952</v>
      </c>
    </row>
    <row r="197" spans="1:18" x14ac:dyDescent="0.3">
      <c r="A197" t="s">
        <v>1101</v>
      </c>
      <c r="B197" s="1">
        <v>42864</v>
      </c>
      <c r="C197" s="1">
        <v>42869</v>
      </c>
      <c r="D197" s="1">
        <v>42856</v>
      </c>
      <c r="E197" t="s">
        <v>43</v>
      </c>
      <c r="F197" t="s">
        <v>1102</v>
      </c>
      <c r="G197" t="s">
        <v>1103</v>
      </c>
      <c r="H197" t="s">
        <v>22</v>
      </c>
      <c r="I197" t="s">
        <v>23</v>
      </c>
      <c r="J197" t="s">
        <v>68</v>
      </c>
      <c r="K197" t="s">
        <v>69</v>
      </c>
      <c r="L197">
        <v>98115</v>
      </c>
      <c r="M197" t="s">
        <v>37</v>
      </c>
      <c r="N197" t="s">
        <v>1104</v>
      </c>
      <c r="O197" t="s">
        <v>147</v>
      </c>
      <c r="P197" t="s">
        <v>180</v>
      </c>
      <c r="Q197" t="s">
        <v>1105</v>
      </c>
      <c r="R197">
        <v>9398</v>
      </c>
    </row>
    <row r="198" spans="1:18" x14ac:dyDescent="0.3">
      <c r="A198" t="s">
        <v>1106</v>
      </c>
      <c r="B198" s="1">
        <v>42812</v>
      </c>
      <c r="C198" s="1">
        <v>42815</v>
      </c>
      <c r="D198" s="1">
        <v>42795</v>
      </c>
      <c r="E198" t="s">
        <v>19</v>
      </c>
      <c r="F198" t="s">
        <v>1107</v>
      </c>
      <c r="G198" t="s">
        <v>1108</v>
      </c>
      <c r="H198" t="s">
        <v>22</v>
      </c>
      <c r="I198" t="s">
        <v>23</v>
      </c>
      <c r="J198" t="s">
        <v>254</v>
      </c>
      <c r="K198" t="s">
        <v>255</v>
      </c>
      <c r="L198">
        <v>38109</v>
      </c>
      <c r="M198" t="s">
        <v>26</v>
      </c>
      <c r="N198" t="s">
        <v>1109</v>
      </c>
      <c r="O198" t="s">
        <v>28</v>
      </c>
      <c r="P198" t="s">
        <v>49</v>
      </c>
      <c r="Q198" t="s">
        <v>1110</v>
      </c>
      <c r="R198">
        <v>189882</v>
      </c>
    </row>
    <row r="199" spans="1:18" x14ac:dyDescent="0.3">
      <c r="A199" t="s">
        <v>1111</v>
      </c>
      <c r="B199" s="1">
        <v>42941</v>
      </c>
      <c r="C199" s="1">
        <v>42947</v>
      </c>
      <c r="D199" s="1">
        <v>42917</v>
      </c>
      <c r="E199" t="s">
        <v>43</v>
      </c>
      <c r="F199" t="s">
        <v>1039</v>
      </c>
      <c r="G199" t="s">
        <v>1040</v>
      </c>
      <c r="H199" t="s">
        <v>22</v>
      </c>
      <c r="I199" t="s">
        <v>23</v>
      </c>
      <c r="J199" t="s">
        <v>1112</v>
      </c>
      <c r="K199" t="s">
        <v>36</v>
      </c>
      <c r="L199">
        <v>92627</v>
      </c>
      <c r="M199" t="s">
        <v>37</v>
      </c>
      <c r="N199" t="s">
        <v>1113</v>
      </c>
      <c r="O199" t="s">
        <v>39</v>
      </c>
      <c r="P199" t="s">
        <v>71</v>
      </c>
      <c r="Q199" t="s">
        <v>1114</v>
      </c>
      <c r="R199">
        <v>119616</v>
      </c>
    </row>
    <row r="200" spans="1:18" x14ac:dyDescent="0.3">
      <c r="A200" t="s">
        <v>1115</v>
      </c>
      <c r="B200" s="1">
        <v>42885</v>
      </c>
      <c r="C200" s="1">
        <v>42890</v>
      </c>
      <c r="D200" s="1">
        <v>42856</v>
      </c>
      <c r="E200" t="s">
        <v>43</v>
      </c>
      <c r="F200" t="s">
        <v>1116</v>
      </c>
      <c r="G200" t="s">
        <v>1117</v>
      </c>
      <c r="H200" t="s">
        <v>34</v>
      </c>
      <c r="I200" t="s">
        <v>23</v>
      </c>
      <c r="J200" t="s">
        <v>1118</v>
      </c>
      <c r="K200" t="s">
        <v>346</v>
      </c>
      <c r="L200">
        <v>80134</v>
      </c>
      <c r="M200" t="s">
        <v>37</v>
      </c>
      <c r="N200" t="s">
        <v>1119</v>
      </c>
      <c r="O200" t="s">
        <v>39</v>
      </c>
      <c r="P200" t="s">
        <v>71</v>
      </c>
      <c r="Q200" t="s">
        <v>1120</v>
      </c>
      <c r="R200">
        <v>2262</v>
      </c>
    </row>
    <row r="201" spans="1:18" x14ac:dyDescent="0.3">
      <c r="A201" t="s">
        <v>1121</v>
      </c>
      <c r="B201" s="1">
        <v>42445</v>
      </c>
      <c r="C201" s="1">
        <v>42451</v>
      </c>
      <c r="D201" s="1">
        <v>42430</v>
      </c>
      <c r="E201" t="s">
        <v>43</v>
      </c>
      <c r="F201" t="s">
        <v>1122</v>
      </c>
      <c r="G201" t="s">
        <v>1123</v>
      </c>
      <c r="H201" t="s">
        <v>22</v>
      </c>
      <c r="I201" t="s">
        <v>23</v>
      </c>
      <c r="J201" t="s">
        <v>1124</v>
      </c>
      <c r="K201" t="s">
        <v>845</v>
      </c>
      <c r="L201">
        <v>30318</v>
      </c>
      <c r="M201" t="s">
        <v>26</v>
      </c>
      <c r="N201" t="s">
        <v>1125</v>
      </c>
      <c r="O201" t="s">
        <v>39</v>
      </c>
      <c r="P201" t="s">
        <v>103</v>
      </c>
      <c r="Q201" t="s">
        <v>1126</v>
      </c>
      <c r="R201">
        <v>274</v>
      </c>
    </row>
    <row r="202" spans="1:18" x14ac:dyDescent="0.3">
      <c r="A202" t="s">
        <v>1127</v>
      </c>
      <c r="B202" s="1">
        <v>43430</v>
      </c>
      <c r="C202" s="1">
        <v>43431</v>
      </c>
      <c r="D202" s="1">
        <v>43405</v>
      </c>
      <c r="E202" t="s">
        <v>142</v>
      </c>
      <c r="F202" t="s">
        <v>1128</v>
      </c>
      <c r="G202" t="s">
        <v>1129</v>
      </c>
      <c r="H202" t="s">
        <v>22</v>
      </c>
      <c r="I202" t="s">
        <v>23</v>
      </c>
      <c r="J202" t="s">
        <v>1130</v>
      </c>
      <c r="K202" t="s">
        <v>437</v>
      </c>
      <c r="L202">
        <v>64118</v>
      </c>
      <c r="M202" t="s">
        <v>79</v>
      </c>
      <c r="N202" t="s">
        <v>1131</v>
      </c>
      <c r="O202" t="s">
        <v>28</v>
      </c>
      <c r="P202" t="s">
        <v>55</v>
      </c>
      <c r="Q202" t="s">
        <v>1132</v>
      </c>
      <c r="R202">
        <v>1263</v>
      </c>
    </row>
    <row r="203" spans="1:18" x14ac:dyDescent="0.3">
      <c r="A203" t="s">
        <v>1133</v>
      </c>
      <c r="B203" s="1">
        <v>43028</v>
      </c>
      <c r="C203" s="1">
        <v>43031</v>
      </c>
      <c r="D203" s="1">
        <v>43009</v>
      </c>
      <c r="E203" t="s">
        <v>142</v>
      </c>
      <c r="F203" t="s">
        <v>950</v>
      </c>
      <c r="G203" t="s">
        <v>951</v>
      </c>
      <c r="H203" t="s">
        <v>22</v>
      </c>
      <c r="I203" t="s">
        <v>23</v>
      </c>
      <c r="J203" t="s">
        <v>447</v>
      </c>
      <c r="K203" t="s">
        <v>377</v>
      </c>
      <c r="L203">
        <v>43055</v>
      </c>
      <c r="M203" t="s">
        <v>117</v>
      </c>
      <c r="N203" t="s">
        <v>269</v>
      </c>
      <c r="O203" t="s">
        <v>39</v>
      </c>
      <c r="P203" t="s">
        <v>103</v>
      </c>
      <c r="Q203" t="s">
        <v>270</v>
      </c>
      <c r="R203">
        <v>7152</v>
      </c>
    </row>
    <row r="204" spans="1:18" x14ac:dyDescent="0.3">
      <c r="A204" t="s">
        <v>1134</v>
      </c>
      <c r="B204" s="1">
        <v>43455</v>
      </c>
      <c r="C204" s="1">
        <v>43459</v>
      </c>
      <c r="D204" s="1">
        <v>43435</v>
      </c>
      <c r="E204" t="s">
        <v>43</v>
      </c>
      <c r="F204" t="s">
        <v>1135</v>
      </c>
      <c r="G204" t="s">
        <v>1136</v>
      </c>
      <c r="H204" t="s">
        <v>22</v>
      </c>
      <c r="I204" t="s">
        <v>23</v>
      </c>
      <c r="J204" t="s">
        <v>35</v>
      </c>
      <c r="K204" t="s">
        <v>36</v>
      </c>
      <c r="L204">
        <v>90049</v>
      </c>
      <c r="M204" t="s">
        <v>37</v>
      </c>
      <c r="N204" t="s">
        <v>1137</v>
      </c>
      <c r="O204" t="s">
        <v>39</v>
      </c>
      <c r="P204" t="s">
        <v>103</v>
      </c>
      <c r="Q204" t="s">
        <v>1138</v>
      </c>
      <c r="R204">
        <v>663</v>
      </c>
    </row>
    <row r="205" spans="1:18" x14ac:dyDescent="0.3">
      <c r="A205" t="s">
        <v>1139</v>
      </c>
      <c r="B205" s="1">
        <v>43122</v>
      </c>
      <c r="C205" s="1">
        <v>43127</v>
      </c>
      <c r="D205" s="1">
        <v>43101</v>
      </c>
      <c r="E205" t="s">
        <v>43</v>
      </c>
      <c r="F205" t="s">
        <v>392</v>
      </c>
      <c r="G205" t="s">
        <v>393</v>
      </c>
      <c r="H205" t="s">
        <v>76</v>
      </c>
      <c r="I205" t="s">
        <v>23</v>
      </c>
      <c r="J205" t="s">
        <v>1140</v>
      </c>
      <c r="K205" t="s">
        <v>1141</v>
      </c>
      <c r="L205">
        <v>59405</v>
      </c>
      <c r="M205" t="s">
        <v>37</v>
      </c>
      <c r="N205" t="s">
        <v>1142</v>
      </c>
      <c r="O205" t="s">
        <v>147</v>
      </c>
      <c r="P205" t="s">
        <v>1143</v>
      </c>
      <c r="Q205" t="s">
        <v>1144</v>
      </c>
      <c r="R205">
        <v>299995</v>
      </c>
    </row>
    <row r="206" spans="1:18" x14ac:dyDescent="0.3">
      <c r="A206" t="s">
        <v>1145</v>
      </c>
      <c r="B206" s="1">
        <v>42451</v>
      </c>
      <c r="C206" s="1">
        <v>42455</v>
      </c>
      <c r="D206" s="1">
        <v>42430</v>
      </c>
      <c r="E206" t="s">
        <v>43</v>
      </c>
      <c r="F206" t="s">
        <v>1146</v>
      </c>
      <c r="G206" t="s">
        <v>1147</v>
      </c>
      <c r="H206" t="s">
        <v>22</v>
      </c>
      <c r="I206" t="s">
        <v>23</v>
      </c>
      <c r="J206" t="s">
        <v>138</v>
      </c>
      <c r="K206" t="s">
        <v>78</v>
      </c>
      <c r="L206">
        <v>77041</v>
      </c>
      <c r="M206" t="s">
        <v>79</v>
      </c>
      <c r="N206" t="s">
        <v>179</v>
      </c>
      <c r="O206" t="s">
        <v>147</v>
      </c>
      <c r="P206" t="s">
        <v>180</v>
      </c>
      <c r="Q206" t="s">
        <v>181</v>
      </c>
      <c r="R206">
        <v>18392</v>
      </c>
    </row>
    <row r="207" spans="1:18" x14ac:dyDescent="0.3">
      <c r="A207" t="s">
        <v>1148</v>
      </c>
      <c r="B207" s="1">
        <v>43123</v>
      </c>
      <c r="C207" s="1">
        <v>43125</v>
      </c>
      <c r="D207" s="1">
        <v>43101</v>
      </c>
      <c r="E207" t="s">
        <v>142</v>
      </c>
      <c r="F207" t="s">
        <v>1149</v>
      </c>
      <c r="G207" t="s">
        <v>1150</v>
      </c>
      <c r="H207" t="s">
        <v>34</v>
      </c>
      <c r="I207" t="s">
        <v>23</v>
      </c>
      <c r="J207" t="s">
        <v>628</v>
      </c>
      <c r="K207" t="s">
        <v>186</v>
      </c>
      <c r="L207">
        <v>48234</v>
      </c>
      <c r="M207" t="s">
        <v>79</v>
      </c>
      <c r="N207" t="s">
        <v>1109</v>
      </c>
      <c r="O207" t="s">
        <v>28</v>
      </c>
      <c r="P207" t="s">
        <v>49</v>
      </c>
      <c r="Q207" t="s">
        <v>1110</v>
      </c>
      <c r="R207">
        <v>21098</v>
      </c>
    </row>
    <row r="208" spans="1:18" x14ac:dyDescent="0.3">
      <c r="A208" t="s">
        <v>1151</v>
      </c>
      <c r="B208" s="1">
        <v>42876</v>
      </c>
      <c r="C208" s="1">
        <v>42878</v>
      </c>
      <c r="D208" s="1">
        <v>42856</v>
      </c>
      <c r="E208" t="s">
        <v>142</v>
      </c>
      <c r="F208" t="s">
        <v>656</v>
      </c>
      <c r="G208" t="s">
        <v>657</v>
      </c>
      <c r="H208" t="s">
        <v>22</v>
      </c>
      <c r="I208" t="s">
        <v>23</v>
      </c>
      <c r="J208" t="s">
        <v>35</v>
      </c>
      <c r="K208" t="s">
        <v>36</v>
      </c>
      <c r="L208">
        <v>90032</v>
      </c>
      <c r="M208" t="s">
        <v>37</v>
      </c>
      <c r="N208" t="s">
        <v>1152</v>
      </c>
      <c r="O208" t="s">
        <v>147</v>
      </c>
      <c r="P208" t="s">
        <v>148</v>
      </c>
      <c r="Q208" t="s">
        <v>1153</v>
      </c>
      <c r="R208">
        <v>55176</v>
      </c>
    </row>
    <row r="209" spans="1:18" x14ac:dyDescent="0.3">
      <c r="A209" t="s">
        <v>1154</v>
      </c>
      <c r="B209" s="1">
        <v>42730</v>
      </c>
      <c r="C209" s="1">
        <v>42737</v>
      </c>
      <c r="D209" s="1">
        <v>42705</v>
      </c>
      <c r="E209" t="s">
        <v>43</v>
      </c>
      <c r="F209" t="s">
        <v>1155</v>
      </c>
      <c r="G209" t="s">
        <v>1156</v>
      </c>
      <c r="H209" t="s">
        <v>22</v>
      </c>
      <c r="I209" t="s">
        <v>23</v>
      </c>
      <c r="J209" t="s">
        <v>1157</v>
      </c>
      <c r="K209" t="s">
        <v>829</v>
      </c>
      <c r="L209">
        <v>1841</v>
      </c>
      <c r="M209" t="s">
        <v>117</v>
      </c>
      <c r="N209" t="s">
        <v>1158</v>
      </c>
      <c r="O209" t="s">
        <v>39</v>
      </c>
      <c r="P209" t="s">
        <v>209</v>
      </c>
      <c r="Q209" t="s">
        <v>1159</v>
      </c>
      <c r="R209">
        <v>222</v>
      </c>
    </row>
    <row r="210" spans="1:18" x14ac:dyDescent="0.3">
      <c r="A210" t="s">
        <v>1160</v>
      </c>
      <c r="B210" s="1">
        <v>43394</v>
      </c>
      <c r="C210" s="1">
        <v>43399</v>
      </c>
      <c r="D210" s="1">
        <v>43374</v>
      </c>
      <c r="E210" t="s">
        <v>43</v>
      </c>
      <c r="F210" t="s">
        <v>1161</v>
      </c>
      <c r="G210" t="s">
        <v>1162</v>
      </c>
      <c r="H210" t="s">
        <v>76</v>
      </c>
      <c r="I210" t="s">
        <v>23</v>
      </c>
      <c r="J210" t="s">
        <v>1163</v>
      </c>
      <c r="K210" t="s">
        <v>47</v>
      </c>
      <c r="L210">
        <v>33801</v>
      </c>
      <c r="M210" t="s">
        <v>26</v>
      </c>
      <c r="N210" t="s">
        <v>1164</v>
      </c>
      <c r="O210" t="s">
        <v>28</v>
      </c>
      <c r="P210" t="s">
        <v>119</v>
      </c>
      <c r="Q210" t="s">
        <v>1165</v>
      </c>
      <c r="R210">
        <v>683952</v>
      </c>
    </row>
    <row r="211" spans="1:18" x14ac:dyDescent="0.3">
      <c r="A211" t="s">
        <v>1166</v>
      </c>
      <c r="B211" s="1">
        <v>42681</v>
      </c>
      <c r="C211" s="1">
        <v>42683</v>
      </c>
      <c r="D211" s="1">
        <v>42675</v>
      </c>
      <c r="E211" t="s">
        <v>19</v>
      </c>
      <c r="F211" t="s">
        <v>1167</v>
      </c>
      <c r="G211" t="s">
        <v>1168</v>
      </c>
      <c r="H211" t="s">
        <v>34</v>
      </c>
      <c r="I211" t="s">
        <v>23</v>
      </c>
      <c r="J211" t="s">
        <v>35</v>
      </c>
      <c r="K211" t="s">
        <v>36</v>
      </c>
      <c r="L211">
        <v>90036</v>
      </c>
      <c r="M211" t="s">
        <v>37</v>
      </c>
      <c r="N211" t="s">
        <v>1169</v>
      </c>
      <c r="O211" t="s">
        <v>28</v>
      </c>
      <c r="P211" t="s">
        <v>119</v>
      </c>
      <c r="Q211" t="s">
        <v>1170</v>
      </c>
      <c r="R211">
        <v>19072</v>
      </c>
    </row>
    <row r="212" spans="1:18" x14ac:dyDescent="0.3">
      <c r="A212" t="s">
        <v>1171</v>
      </c>
      <c r="B212" s="1">
        <v>43350</v>
      </c>
      <c r="C212" s="1">
        <v>43354</v>
      </c>
      <c r="D212" s="1">
        <v>43344</v>
      </c>
      <c r="E212" t="s">
        <v>43</v>
      </c>
      <c r="F212" t="s">
        <v>1172</v>
      </c>
      <c r="G212" t="s">
        <v>1173</v>
      </c>
      <c r="H212" t="s">
        <v>22</v>
      </c>
      <c r="I212" t="s">
        <v>23</v>
      </c>
      <c r="J212" t="s">
        <v>35</v>
      </c>
      <c r="K212" t="s">
        <v>36</v>
      </c>
      <c r="L212">
        <v>90032</v>
      </c>
      <c r="M212" t="s">
        <v>37</v>
      </c>
      <c r="N212" t="s">
        <v>1174</v>
      </c>
      <c r="O212" t="s">
        <v>28</v>
      </c>
      <c r="P212" t="s">
        <v>55</v>
      </c>
      <c r="Q212" t="s">
        <v>1175</v>
      </c>
      <c r="R212">
        <v>4794</v>
      </c>
    </row>
    <row r="213" spans="1:18" x14ac:dyDescent="0.3">
      <c r="A213" t="s">
        <v>1176</v>
      </c>
      <c r="B213" s="1">
        <v>42884</v>
      </c>
      <c r="C213" s="1">
        <v>42887</v>
      </c>
      <c r="D213" s="1">
        <v>42856</v>
      </c>
      <c r="E213" t="s">
        <v>19</v>
      </c>
      <c r="F213" t="s">
        <v>1177</v>
      </c>
      <c r="G213" t="s">
        <v>1178</v>
      </c>
      <c r="H213" t="s">
        <v>22</v>
      </c>
      <c r="I213" t="s">
        <v>23</v>
      </c>
      <c r="J213" t="s">
        <v>1179</v>
      </c>
      <c r="K213" t="s">
        <v>1180</v>
      </c>
      <c r="L213">
        <v>36116</v>
      </c>
      <c r="M213" t="s">
        <v>26</v>
      </c>
      <c r="N213" t="s">
        <v>1181</v>
      </c>
      <c r="O213" t="s">
        <v>147</v>
      </c>
      <c r="P213" t="s">
        <v>148</v>
      </c>
      <c r="Q213" t="s">
        <v>1182</v>
      </c>
      <c r="R213">
        <v>97995</v>
      </c>
    </row>
    <row r="214" spans="1:18" x14ac:dyDescent="0.3">
      <c r="A214" t="s">
        <v>1183</v>
      </c>
      <c r="B214" s="1">
        <v>42926</v>
      </c>
      <c r="C214" s="1">
        <v>42932</v>
      </c>
      <c r="D214" s="1">
        <v>42917</v>
      </c>
      <c r="E214" t="s">
        <v>43</v>
      </c>
      <c r="F214" t="s">
        <v>1184</v>
      </c>
      <c r="G214" t="s">
        <v>1185</v>
      </c>
      <c r="H214" t="s">
        <v>22</v>
      </c>
      <c r="I214" t="s">
        <v>23</v>
      </c>
      <c r="J214" t="s">
        <v>1186</v>
      </c>
      <c r="K214" t="s">
        <v>232</v>
      </c>
      <c r="L214">
        <v>85204</v>
      </c>
      <c r="M214" t="s">
        <v>37</v>
      </c>
      <c r="N214" t="s">
        <v>1187</v>
      </c>
      <c r="O214" t="s">
        <v>39</v>
      </c>
      <c r="P214" t="s">
        <v>89</v>
      </c>
      <c r="Q214" t="s">
        <v>1188</v>
      </c>
      <c r="R214">
        <v>16768</v>
      </c>
    </row>
    <row r="215" spans="1:18" x14ac:dyDescent="0.3">
      <c r="A215" t="s">
        <v>1189</v>
      </c>
      <c r="B215" s="1">
        <v>43346</v>
      </c>
      <c r="C215" s="1">
        <v>43351</v>
      </c>
      <c r="D215" s="1">
        <v>43344</v>
      </c>
      <c r="E215" t="s">
        <v>19</v>
      </c>
      <c r="F215" t="s">
        <v>1190</v>
      </c>
      <c r="G215" t="s">
        <v>1191</v>
      </c>
      <c r="H215" t="s">
        <v>22</v>
      </c>
      <c r="I215" t="s">
        <v>23</v>
      </c>
      <c r="J215" t="s">
        <v>225</v>
      </c>
      <c r="K215" t="s">
        <v>160</v>
      </c>
      <c r="L215">
        <v>60653</v>
      </c>
      <c r="M215" t="s">
        <v>79</v>
      </c>
      <c r="N215" t="s">
        <v>1192</v>
      </c>
      <c r="O215" t="s">
        <v>39</v>
      </c>
      <c r="P215" t="s">
        <v>71</v>
      </c>
      <c r="Q215" t="s">
        <v>1193</v>
      </c>
      <c r="R215">
        <v>42616</v>
      </c>
    </row>
    <row r="216" spans="1:18" x14ac:dyDescent="0.3">
      <c r="A216" t="s">
        <v>1194</v>
      </c>
      <c r="B216" s="1">
        <v>42711</v>
      </c>
      <c r="C216" s="1">
        <v>42715</v>
      </c>
      <c r="D216" s="1">
        <v>42705</v>
      </c>
      <c r="E216" t="s">
        <v>43</v>
      </c>
      <c r="F216" t="s">
        <v>1195</v>
      </c>
      <c r="G216" t="s">
        <v>1196</v>
      </c>
      <c r="H216" t="s">
        <v>22</v>
      </c>
      <c r="I216" t="s">
        <v>23</v>
      </c>
      <c r="J216" t="s">
        <v>24</v>
      </c>
      <c r="K216" t="s">
        <v>25</v>
      </c>
      <c r="L216">
        <v>42420</v>
      </c>
      <c r="M216" t="s">
        <v>26</v>
      </c>
      <c r="N216" t="s">
        <v>1197</v>
      </c>
      <c r="O216" t="s">
        <v>39</v>
      </c>
      <c r="P216" t="s">
        <v>81</v>
      </c>
      <c r="Q216" t="s">
        <v>1198</v>
      </c>
      <c r="R216">
        <v>15294</v>
      </c>
    </row>
    <row r="217" spans="1:18" x14ac:dyDescent="0.3">
      <c r="A217" t="s">
        <v>1199</v>
      </c>
      <c r="B217" s="1">
        <v>42036</v>
      </c>
      <c r="C217" s="1">
        <v>42038</v>
      </c>
      <c r="D217" s="1">
        <v>42036</v>
      </c>
      <c r="E217" t="s">
        <v>142</v>
      </c>
      <c r="F217" t="s">
        <v>1200</v>
      </c>
      <c r="G217" t="s">
        <v>1201</v>
      </c>
      <c r="H217" t="s">
        <v>22</v>
      </c>
      <c r="I217" t="s">
        <v>23</v>
      </c>
      <c r="J217" t="s">
        <v>1202</v>
      </c>
      <c r="K217" t="s">
        <v>87</v>
      </c>
      <c r="L217">
        <v>54302</v>
      </c>
      <c r="M217" t="s">
        <v>79</v>
      </c>
      <c r="N217" t="s">
        <v>1203</v>
      </c>
      <c r="O217" t="s">
        <v>147</v>
      </c>
      <c r="P217" t="s">
        <v>180</v>
      </c>
      <c r="Q217" t="s">
        <v>1204</v>
      </c>
      <c r="R217">
        <v>4689</v>
      </c>
    </row>
    <row r="218" spans="1:18" x14ac:dyDescent="0.3">
      <c r="A218" t="s">
        <v>1205</v>
      </c>
      <c r="B218" s="1">
        <v>42930</v>
      </c>
      <c r="C218" s="1">
        <v>42933</v>
      </c>
      <c r="D218" s="1">
        <v>42917</v>
      </c>
      <c r="E218" t="s">
        <v>142</v>
      </c>
      <c r="F218" t="s">
        <v>169</v>
      </c>
      <c r="G218" t="s">
        <v>170</v>
      </c>
      <c r="H218" t="s">
        <v>34</v>
      </c>
      <c r="I218" t="s">
        <v>23</v>
      </c>
      <c r="J218" t="s">
        <v>872</v>
      </c>
      <c r="K218" t="s">
        <v>232</v>
      </c>
      <c r="L218">
        <v>85705</v>
      </c>
      <c r="M218" t="s">
        <v>37</v>
      </c>
      <c r="N218" t="s">
        <v>1206</v>
      </c>
      <c r="O218" t="s">
        <v>147</v>
      </c>
      <c r="P218" t="s">
        <v>148</v>
      </c>
      <c r="Q218" t="s">
        <v>1207</v>
      </c>
      <c r="R218">
        <v>380864</v>
      </c>
    </row>
    <row r="219" spans="1:18" x14ac:dyDescent="0.3">
      <c r="A219" t="s">
        <v>1208</v>
      </c>
      <c r="B219" s="1">
        <v>42722</v>
      </c>
      <c r="C219" s="1">
        <v>42727</v>
      </c>
      <c r="D219" s="1">
        <v>42705</v>
      </c>
      <c r="E219" t="s">
        <v>43</v>
      </c>
      <c r="F219" t="s">
        <v>1209</v>
      </c>
      <c r="G219" t="s">
        <v>1210</v>
      </c>
      <c r="H219" t="s">
        <v>22</v>
      </c>
      <c r="I219" t="s">
        <v>23</v>
      </c>
      <c r="J219" t="s">
        <v>238</v>
      </c>
      <c r="K219" t="s">
        <v>377</v>
      </c>
      <c r="L219">
        <v>45503</v>
      </c>
      <c r="M219" t="s">
        <v>117</v>
      </c>
      <c r="N219" t="s">
        <v>1211</v>
      </c>
      <c r="O219" t="s">
        <v>39</v>
      </c>
      <c r="P219" t="s">
        <v>89</v>
      </c>
      <c r="Q219" t="s">
        <v>1212</v>
      </c>
      <c r="R219">
        <v>646776</v>
      </c>
    </row>
    <row r="220" spans="1:18" x14ac:dyDescent="0.3">
      <c r="A220" t="s">
        <v>1213</v>
      </c>
      <c r="B220" s="1">
        <v>42135</v>
      </c>
      <c r="C220" s="1">
        <v>42140</v>
      </c>
      <c r="D220" s="1">
        <v>42125</v>
      </c>
      <c r="E220" t="s">
        <v>43</v>
      </c>
      <c r="F220" t="s">
        <v>288</v>
      </c>
      <c r="G220" t="s">
        <v>289</v>
      </c>
      <c r="H220" t="s">
        <v>22</v>
      </c>
      <c r="I220" t="s">
        <v>23</v>
      </c>
      <c r="J220" t="s">
        <v>77</v>
      </c>
      <c r="K220" t="s">
        <v>78</v>
      </c>
      <c r="L220">
        <v>76106</v>
      </c>
      <c r="M220" t="s">
        <v>79</v>
      </c>
      <c r="N220" t="s">
        <v>1214</v>
      </c>
      <c r="O220" t="s">
        <v>147</v>
      </c>
      <c r="P220" t="s">
        <v>180</v>
      </c>
      <c r="Q220" t="s">
        <v>1215</v>
      </c>
      <c r="R220">
        <v>58112</v>
      </c>
    </row>
    <row r="221" spans="1:18" x14ac:dyDescent="0.3">
      <c r="A221" t="s">
        <v>1216</v>
      </c>
      <c r="B221" s="1">
        <v>42689</v>
      </c>
      <c r="C221" s="1">
        <v>42691</v>
      </c>
      <c r="D221" s="1">
        <v>42675</v>
      </c>
      <c r="E221" t="s">
        <v>19</v>
      </c>
      <c r="F221" t="s">
        <v>903</v>
      </c>
      <c r="G221" t="s">
        <v>904</v>
      </c>
      <c r="H221" t="s">
        <v>34</v>
      </c>
      <c r="I221" t="s">
        <v>23</v>
      </c>
      <c r="J221" t="s">
        <v>225</v>
      </c>
      <c r="K221" t="s">
        <v>160</v>
      </c>
      <c r="L221">
        <v>60653</v>
      </c>
      <c r="M221" t="s">
        <v>79</v>
      </c>
      <c r="N221" t="s">
        <v>215</v>
      </c>
      <c r="O221" t="s">
        <v>39</v>
      </c>
      <c r="P221" t="s">
        <v>89</v>
      </c>
      <c r="Q221" t="s">
        <v>216</v>
      </c>
      <c r="R221">
        <v>250272</v>
      </c>
    </row>
    <row r="222" spans="1:18" x14ac:dyDescent="0.3">
      <c r="A222" t="s">
        <v>1217</v>
      </c>
      <c r="B222" s="1">
        <v>43354</v>
      </c>
      <c r="C222" s="1">
        <v>43355</v>
      </c>
      <c r="D222" s="1">
        <v>43344</v>
      </c>
      <c r="E222" t="s">
        <v>142</v>
      </c>
      <c r="F222" t="s">
        <v>374</v>
      </c>
      <c r="G222" t="s">
        <v>375</v>
      </c>
      <c r="H222" t="s">
        <v>22</v>
      </c>
      <c r="I222" t="s">
        <v>23</v>
      </c>
      <c r="J222" t="s">
        <v>1007</v>
      </c>
      <c r="K222" t="s">
        <v>47</v>
      </c>
      <c r="L222">
        <v>32216</v>
      </c>
      <c r="M222" t="s">
        <v>26</v>
      </c>
      <c r="N222" t="s">
        <v>1218</v>
      </c>
      <c r="O222" t="s">
        <v>28</v>
      </c>
      <c r="P222" t="s">
        <v>55</v>
      </c>
      <c r="Q222" t="s">
        <v>1219</v>
      </c>
      <c r="R222">
        <v>34504</v>
      </c>
    </row>
    <row r="223" spans="1:18" x14ac:dyDescent="0.3">
      <c r="A223" t="s">
        <v>1220</v>
      </c>
      <c r="B223" s="1">
        <v>43428</v>
      </c>
      <c r="C223" s="1">
        <v>43432</v>
      </c>
      <c r="D223" s="1">
        <v>43405</v>
      </c>
      <c r="E223" t="s">
        <v>43</v>
      </c>
      <c r="F223" t="s">
        <v>1221</v>
      </c>
      <c r="G223" t="s">
        <v>1222</v>
      </c>
      <c r="H223" t="s">
        <v>22</v>
      </c>
      <c r="I223" t="s">
        <v>23</v>
      </c>
      <c r="J223" t="s">
        <v>138</v>
      </c>
      <c r="K223" t="s">
        <v>78</v>
      </c>
      <c r="L223">
        <v>77070</v>
      </c>
      <c r="M223" t="s">
        <v>79</v>
      </c>
      <c r="N223" t="s">
        <v>1223</v>
      </c>
      <c r="O223" t="s">
        <v>39</v>
      </c>
      <c r="P223" t="s">
        <v>209</v>
      </c>
      <c r="Q223" t="s">
        <v>1224</v>
      </c>
      <c r="R223">
        <v>10824</v>
      </c>
    </row>
    <row r="224" spans="1:18" x14ac:dyDescent="0.3">
      <c r="A224" t="s">
        <v>1225</v>
      </c>
      <c r="B224" s="1">
        <v>43280</v>
      </c>
      <c r="C224" s="1">
        <v>43284</v>
      </c>
      <c r="D224" s="1">
        <v>43252</v>
      </c>
      <c r="E224" t="s">
        <v>19</v>
      </c>
      <c r="F224" t="s">
        <v>903</v>
      </c>
      <c r="G224" t="s">
        <v>904</v>
      </c>
      <c r="H224" t="s">
        <v>34</v>
      </c>
      <c r="I224" t="s">
        <v>23</v>
      </c>
      <c r="J224" t="s">
        <v>1226</v>
      </c>
      <c r="K224" t="s">
        <v>36</v>
      </c>
      <c r="L224">
        <v>92804</v>
      </c>
      <c r="M224" t="s">
        <v>37</v>
      </c>
      <c r="N224" t="s">
        <v>1227</v>
      </c>
      <c r="O224" t="s">
        <v>39</v>
      </c>
      <c r="P224" t="s">
        <v>89</v>
      </c>
      <c r="Q224" t="s">
        <v>1228</v>
      </c>
      <c r="R224">
        <v>129578</v>
      </c>
    </row>
    <row r="225" spans="1:18" x14ac:dyDescent="0.3">
      <c r="A225" t="s">
        <v>1229</v>
      </c>
      <c r="B225" s="1">
        <v>42066</v>
      </c>
      <c r="C225" s="1">
        <v>42070</v>
      </c>
      <c r="D225" s="1">
        <v>42064</v>
      </c>
      <c r="E225" t="s">
        <v>19</v>
      </c>
      <c r="F225" t="s">
        <v>1230</v>
      </c>
      <c r="G225" t="s">
        <v>1231</v>
      </c>
      <c r="H225" t="s">
        <v>22</v>
      </c>
      <c r="I225" t="s">
        <v>23</v>
      </c>
      <c r="J225" t="s">
        <v>956</v>
      </c>
      <c r="K225" t="s">
        <v>61</v>
      </c>
      <c r="L225">
        <v>28403</v>
      </c>
      <c r="M225" t="s">
        <v>26</v>
      </c>
      <c r="N225" t="s">
        <v>1232</v>
      </c>
      <c r="O225" t="s">
        <v>39</v>
      </c>
      <c r="P225" t="s">
        <v>103</v>
      </c>
      <c r="Q225" t="s">
        <v>1233</v>
      </c>
      <c r="R225">
        <v>19456</v>
      </c>
    </row>
    <row r="226" spans="1:18" x14ac:dyDescent="0.3">
      <c r="A226" t="s">
        <v>1234</v>
      </c>
      <c r="B226" s="1">
        <v>42896</v>
      </c>
      <c r="C226" s="1">
        <v>42901</v>
      </c>
      <c r="D226" s="1">
        <v>42887</v>
      </c>
      <c r="E226" t="s">
        <v>43</v>
      </c>
      <c r="F226" t="s">
        <v>1235</v>
      </c>
      <c r="G226" t="s">
        <v>1236</v>
      </c>
      <c r="H226" t="s">
        <v>22</v>
      </c>
      <c r="I226" t="s">
        <v>23</v>
      </c>
      <c r="J226" t="s">
        <v>35</v>
      </c>
      <c r="K226" t="s">
        <v>36</v>
      </c>
      <c r="L226">
        <v>90045</v>
      </c>
      <c r="M226" t="s">
        <v>37</v>
      </c>
      <c r="N226" t="s">
        <v>1237</v>
      </c>
      <c r="O226" t="s">
        <v>39</v>
      </c>
      <c r="P226" t="s">
        <v>40</v>
      </c>
      <c r="Q226" t="s">
        <v>1238</v>
      </c>
      <c r="R226">
        <v>207</v>
      </c>
    </row>
    <row r="227" spans="1:18" x14ac:dyDescent="0.3">
      <c r="A227" t="s">
        <v>1239</v>
      </c>
      <c r="B227" s="1">
        <v>43424</v>
      </c>
      <c r="C227" s="1">
        <v>43426</v>
      </c>
      <c r="D227" s="1">
        <v>43405</v>
      </c>
      <c r="E227" t="s">
        <v>19</v>
      </c>
      <c r="F227" t="s">
        <v>1240</v>
      </c>
      <c r="G227" t="s">
        <v>1241</v>
      </c>
      <c r="H227" t="s">
        <v>22</v>
      </c>
      <c r="I227" t="s">
        <v>23</v>
      </c>
      <c r="J227" t="s">
        <v>101</v>
      </c>
      <c r="K227" t="s">
        <v>36</v>
      </c>
      <c r="L227">
        <v>94110</v>
      </c>
      <c r="M227" t="s">
        <v>37</v>
      </c>
      <c r="N227" t="s">
        <v>1242</v>
      </c>
      <c r="O227" t="s">
        <v>28</v>
      </c>
      <c r="P227" t="s">
        <v>55</v>
      </c>
      <c r="Q227" t="s">
        <v>1243</v>
      </c>
      <c r="R227">
        <v>426</v>
      </c>
    </row>
    <row r="228" spans="1:18" x14ac:dyDescent="0.3">
      <c r="A228" t="s">
        <v>1244</v>
      </c>
      <c r="B228" s="1">
        <v>43441</v>
      </c>
      <c r="C228" s="1">
        <v>43444</v>
      </c>
      <c r="D228" s="1">
        <v>43435</v>
      </c>
      <c r="E228" t="s">
        <v>142</v>
      </c>
      <c r="F228" t="s">
        <v>1245</v>
      </c>
      <c r="G228" t="s">
        <v>1246</v>
      </c>
      <c r="H228" t="s">
        <v>22</v>
      </c>
      <c r="I228" t="s">
        <v>23</v>
      </c>
      <c r="J228" t="s">
        <v>35</v>
      </c>
      <c r="K228" t="s">
        <v>36</v>
      </c>
      <c r="L228">
        <v>90008</v>
      </c>
      <c r="M228" t="s">
        <v>37</v>
      </c>
      <c r="N228" t="s">
        <v>1247</v>
      </c>
      <c r="O228" t="s">
        <v>147</v>
      </c>
      <c r="P228" t="s">
        <v>148</v>
      </c>
      <c r="Q228" t="s">
        <v>1248</v>
      </c>
      <c r="R228">
        <v>374376</v>
      </c>
    </row>
    <row r="229" spans="1:18" x14ac:dyDescent="0.3">
      <c r="A229" t="s">
        <v>1249</v>
      </c>
      <c r="B229" s="1">
        <v>42631</v>
      </c>
      <c r="C229" s="1">
        <v>42635</v>
      </c>
      <c r="D229" s="1">
        <v>42614</v>
      </c>
      <c r="E229" t="s">
        <v>19</v>
      </c>
      <c r="F229" t="s">
        <v>1250</v>
      </c>
      <c r="G229" t="s">
        <v>1251</v>
      </c>
      <c r="H229" t="s">
        <v>22</v>
      </c>
      <c r="I229" t="s">
        <v>23</v>
      </c>
      <c r="J229" t="s">
        <v>1252</v>
      </c>
      <c r="K229" t="s">
        <v>36</v>
      </c>
      <c r="L229">
        <v>90805</v>
      </c>
      <c r="M229" t="s">
        <v>37</v>
      </c>
      <c r="N229" t="s">
        <v>1253</v>
      </c>
      <c r="O229" t="s">
        <v>39</v>
      </c>
      <c r="P229" t="s">
        <v>63</v>
      </c>
      <c r="Q229" t="s">
        <v>1254</v>
      </c>
      <c r="R229">
        <v>16072</v>
      </c>
    </row>
    <row r="230" spans="1:18" x14ac:dyDescent="0.3">
      <c r="A230" t="s">
        <v>1255</v>
      </c>
      <c r="B230" s="1">
        <v>43301</v>
      </c>
      <c r="C230" s="1">
        <v>43307</v>
      </c>
      <c r="D230" s="1">
        <v>43282</v>
      </c>
      <c r="E230" t="s">
        <v>43</v>
      </c>
      <c r="F230" t="s">
        <v>1256</v>
      </c>
      <c r="G230" t="s">
        <v>1257</v>
      </c>
      <c r="H230" t="s">
        <v>22</v>
      </c>
      <c r="I230" t="s">
        <v>23</v>
      </c>
      <c r="J230" t="s">
        <v>225</v>
      </c>
      <c r="K230" t="s">
        <v>160</v>
      </c>
      <c r="L230">
        <v>60610</v>
      </c>
      <c r="M230" t="s">
        <v>79</v>
      </c>
      <c r="N230" t="s">
        <v>1258</v>
      </c>
      <c r="O230" t="s">
        <v>39</v>
      </c>
      <c r="P230" t="s">
        <v>89</v>
      </c>
      <c r="Q230" t="s">
        <v>1259</v>
      </c>
      <c r="R230">
        <v>69712</v>
      </c>
    </row>
    <row r="231" spans="1:18" x14ac:dyDescent="0.3">
      <c r="A231" t="s">
        <v>1260</v>
      </c>
      <c r="B231" s="1">
        <v>42623</v>
      </c>
      <c r="C231" s="1">
        <v>42627</v>
      </c>
      <c r="D231" s="1">
        <v>42614</v>
      </c>
      <c r="E231" t="s">
        <v>43</v>
      </c>
      <c r="F231" t="s">
        <v>1261</v>
      </c>
      <c r="G231" t="s">
        <v>1262</v>
      </c>
      <c r="H231" t="s">
        <v>22</v>
      </c>
      <c r="I231" t="s">
        <v>23</v>
      </c>
      <c r="J231" t="s">
        <v>35</v>
      </c>
      <c r="K231" t="s">
        <v>36</v>
      </c>
      <c r="L231">
        <v>90004</v>
      </c>
      <c r="M231" t="s">
        <v>37</v>
      </c>
      <c r="N231" t="s">
        <v>1263</v>
      </c>
      <c r="O231" t="s">
        <v>39</v>
      </c>
      <c r="P231" t="s">
        <v>1264</v>
      </c>
      <c r="Q231" t="s">
        <v>1265</v>
      </c>
      <c r="R231">
        <v>5152</v>
      </c>
    </row>
    <row r="232" spans="1:18" x14ac:dyDescent="0.3">
      <c r="A232" t="s">
        <v>1266</v>
      </c>
      <c r="B232" s="1">
        <v>42554</v>
      </c>
      <c r="C232" s="1">
        <v>42560</v>
      </c>
      <c r="D232" s="1">
        <v>42552</v>
      </c>
      <c r="E232" t="s">
        <v>43</v>
      </c>
      <c r="F232" t="s">
        <v>1267</v>
      </c>
      <c r="G232" t="s">
        <v>1268</v>
      </c>
      <c r="H232" t="s">
        <v>22</v>
      </c>
      <c r="I232" t="s">
        <v>23</v>
      </c>
      <c r="J232" t="s">
        <v>1269</v>
      </c>
      <c r="K232" t="s">
        <v>25</v>
      </c>
      <c r="L232">
        <v>40475</v>
      </c>
      <c r="M232" t="s">
        <v>26</v>
      </c>
      <c r="N232" t="s">
        <v>1270</v>
      </c>
      <c r="O232" t="s">
        <v>28</v>
      </c>
      <c r="P232" t="s">
        <v>119</v>
      </c>
      <c r="Q232" t="s">
        <v>1271</v>
      </c>
      <c r="R232">
        <v>7098</v>
      </c>
    </row>
    <row r="233" spans="1:18" x14ac:dyDescent="0.3">
      <c r="A233" t="s">
        <v>1272</v>
      </c>
      <c r="B233" s="1">
        <v>42814</v>
      </c>
      <c r="C233" s="1">
        <v>42818</v>
      </c>
      <c r="D233" s="1">
        <v>42795</v>
      </c>
      <c r="E233" t="s">
        <v>43</v>
      </c>
      <c r="F233" t="s">
        <v>1273</v>
      </c>
      <c r="G233" t="s">
        <v>1274</v>
      </c>
      <c r="H233" t="s">
        <v>22</v>
      </c>
      <c r="I233" t="s">
        <v>23</v>
      </c>
      <c r="J233" t="s">
        <v>1275</v>
      </c>
      <c r="K233" t="s">
        <v>313</v>
      </c>
      <c r="L233">
        <v>97301</v>
      </c>
      <c r="M233" t="s">
        <v>37</v>
      </c>
      <c r="N233" t="s">
        <v>1276</v>
      </c>
      <c r="O233" t="s">
        <v>147</v>
      </c>
      <c r="P233" t="s">
        <v>148</v>
      </c>
      <c r="Q233" t="s">
        <v>1277</v>
      </c>
      <c r="R233">
        <v>84784</v>
      </c>
    </row>
    <row r="234" spans="1:18" x14ac:dyDescent="0.3">
      <c r="A234" t="s">
        <v>1278</v>
      </c>
      <c r="B234" s="1">
        <v>42013</v>
      </c>
      <c r="C234" s="1">
        <v>42017</v>
      </c>
      <c r="D234" s="1">
        <v>42005</v>
      </c>
      <c r="E234" t="s">
        <v>43</v>
      </c>
      <c r="F234" t="s">
        <v>1279</v>
      </c>
      <c r="G234" t="s">
        <v>1280</v>
      </c>
      <c r="H234" t="s">
        <v>22</v>
      </c>
      <c r="I234" t="s">
        <v>23</v>
      </c>
      <c r="J234" t="s">
        <v>1281</v>
      </c>
      <c r="K234" t="s">
        <v>78</v>
      </c>
      <c r="L234">
        <v>78041</v>
      </c>
      <c r="M234" t="s">
        <v>79</v>
      </c>
      <c r="N234" t="s">
        <v>1282</v>
      </c>
      <c r="O234" t="s">
        <v>39</v>
      </c>
      <c r="P234" t="s">
        <v>103</v>
      </c>
      <c r="Q234" t="s">
        <v>1283</v>
      </c>
      <c r="R234">
        <v>9344</v>
      </c>
    </row>
    <row r="235" spans="1:18" x14ac:dyDescent="0.3">
      <c r="A235" t="s">
        <v>1284</v>
      </c>
      <c r="B235" s="1">
        <v>42224</v>
      </c>
      <c r="C235" s="1">
        <v>42231</v>
      </c>
      <c r="D235" s="1">
        <v>42217</v>
      </c>
      <c r="E235" t="s">
        <v>43</v>
      </c>
      <c r="F235" t="s">
        <v>1285</v>
      </c>
      <c r="G235" t="s">
        <v>1286</v>
      </c>
      <c r="H235" t="s">
        <v>22</v>
      </c>
      <c r="I235" t="s">
        <v>23</v>
      </c>
      <c r="J235" t="s">
        <v>663</v>
      </c>
      <c r="K235" t="s">
        <v>36</v>
      </c>
      <c r="L235">
        <v>92024</v>
      </c>
      <c r="M235" t="s">
        <v>37</v>
      </c>
      <c r="N235" t="s">
        <v>1287</v>
      </c>
      <c r="O235" t="s">
        <v>39</v>
      </c>
      <c r="P235" t="s">
        <v>81</v>
      </c>
      <c r="Q235" t="s">
        <v>1288</v>
      </c>
      <c r="R235">
        <v>7612</v>
      </c>
    </row>
    <row r="236" spans="1:18" x14ac:dyDescent="0.3">
      <c r="A236" t="s">
        <v>1289</v>
      </c>
      <c r="B236" s="1">
        <v>42078</v>
      </c>
      <c r="C236" s="1">
        <v>42082</v>
      </c>
      <c r="D236" s="1">
        <v>42064</v>
      </c>
      <c r="E236" t="s">
        <v>43</v>
      </c>
      <c r="F236" t="s">
        <v>1290</v>
      </c>
      <c r="G236" t="s">
        <v>1291</v>
      </c>
      <c r="H236" t="s">
        <v>22</v>
      </c>
      <c r="I236" t="s">
        <v>23</v>
      </c>
      <c r="J236" t="s">
        <v>642</v>
      </c>
      <c r="K236" t="s">
        <v>47</v>
      </c>
      <c r="L236">
        <v>33614</v>
      </c>
      <c r="M236" t="s">
        <v>26</v>
      </c>
      <c r="N236" t="s">
        <v>1292</v>
      </c>
      <c r="O236" t="s">
        <v>39</v>
      </c>
      <c r="P236" t="s">
        <v>89</v>
      </c>
      <c r="Q236" t="s">
        <v>1293</v>
      </c>
      <c r="R236">
        <v>142776</v>
      </c>
    </row>
    <row r="237" spans="1:18" x14ac:dyDescent="0.3">
      <c r="A237" t="s">
        <v>1294</v>
      </c>
      <c r="B237" s="1">
        <v>42147</v>
      </c>
      <c r="C237" s="1">
        <v>42151</v>
      </c>
      <c r="D237" s="1">
        <v>42125</v>
      </c>
      <c r="E237" t="s">
        <v>43</v>
      </c>
      <c r="F237" t="s">
        <v>1295</v>
      </c>
      <c r="G237" t="s">
        <v>1296</v>
      </c>
      <c r="H237" t="s">
        <v>22</v>
      </c>
      <c r="I237" t="s">
        <v>23</v>
      </c>
      <c r="J237" t="s">
        <v>115</v>
      </c>
      <c r="K237" t="s">
        <v>116</v>
      </c>
      <c r="L237">
        <v>19134</v>
      </c>
      <c r="M237" t="s">
        <v>117</v>
      </c>
      <c r="N237" t="s">
        <v>1297</v>
      </c>
      <c r="O237" t="s">
        <v>39</v>
      </c>
      <c r="P237" t="s">
        <v>71</v>
      </c>
      <c r="Q237" t="s">
        <v>1298</v>
      </c>
      <c r="R237">
        <v>3282</v>
      </c>
    </row>
    <row r="238" spans="1:18" x14ac:dyDescent="0.3">
      <c r="A238" t="s">
        <v>1299</v>
      </c>
      <c r="B238" s="1">
        <v>42853</v>
      </c>
      <c r="C238" s="1">
        <v>42856</v>
      </c>
      <c r="D238" s="1">
        <v>42826</v>
      </c>
      <c r="E238" t="s">
        <v>142</v>
      </c>
      <c r="F238" t="s">
        <v>1300</v>
      </c>
      <c r="G238" t="s">
        <v>1301</v>
      </c>
      <c r="H238" t="s">
        <v>34</v>
      </c>
      <c r="I238" t="s">
        <v>23</v>
      </c>
      <c r="J238" t="s">
        <v>590</v>
      </c>
      <c r="K238" t="s">
        <v>78</v>
      </c>
      <c r="L238">
        <v>75217</v>
      </c>
      <c r="M238" t="s">
        <v>79</v>
      </c>
      <c r="N238" t="s">
        <v>922</v>
      </c>
      <c r="O238" t="s">
        <v>147</v>
      </c>
      <c r="P238" t="s">
        <v>148</v>
      </c>
      <c r="Q238" t="s">
        <v>923</v>
      </c>
      <c r="R238">
        <v>369576</v>
      </c>
    </row>
    <row r="239" spans="1:18" x14ac:dyDescent="0.3">
      <c r="A239" t="s">
        <v>1302</v>
      </c>
      <c r="B239" s="1">
        <v>43418</v>
      </c>
      <c r="C239" s="1">
        <v>43421</v>
      </c>
      <c r="D239" s="1">
        <v>43405</v>
      </c>
      <c r="E239" t="s">
        <v>19</v>
      </c>
      <c r="F239" t="s">
        <v>1303</v>
      </c>
      <c r="G239" t="s">
        <v>1304</v>
      </c>
      <c r="H239" t="s">
        <v>22</v>
      </c>
      <c r="I239" t="s">
        <v>23</v>
      </c>
      <c r="J239" t="s">
        <v>1305</v>
      </c>
      <c r="K239" t="s">
        <v>377</v>
      </c>
      <c r="L239">
        <v>43123</v>
      </c>
      <c r="M239" t="s">
        <v>117</v>
      </c>
      <c r="N239" t="s">
        <v>1306</v>
      </c>
      <c r="O239" t="s">
        <v>147</v>
      </c>
      <c r="P239" t="s">
        <v>148</v>
      </c>
      <c r="Q239" t="s">
        <v>1307</v>
      </c>
      <c r="R239">
        <v>11994</v>
      </c>
    </row>
    <row r="240" spans="1:18" x14ac:dyDescent="0.3">
      <c r="A240" t="s">
        <v>1308</v>
      </c>
      <c r="B240" s="1">
        <v>43330</v>
      </c>
      <c r="C240" s="1">
        <v>43335</v>
      </c>
      <c r="D240" s="1">
        <v>43313</v>
      </c>
      <c r="E240" t="s">
        <v>19</v>
      </c>
      <c r="F240" t="s">
        <v>1309</v>
      </c>
      <c r="G240" t="s">
        <v>1310</v>
      </c>
      <c r="H240" t="s">
        <v>34</v>
      </c>
      <c r="I240" t="s">
        <v>23</v>
      </c>
      <c r="J240" t="s">
        <v>206</v>
      </c>
      <c r="K240" t="s">
        <v>207</v>
      </c>
      <c r="L240">
        <v>10011</v>
      </c>
      <c r="M240" t="s">
        <v>117</v>
      </c>
      <c r="N240" t="s">
        <v>1311</v>
      </c>
      <c r="O240" t="s">
        <v>28</v>
      </c>
      <c r="P240" t="s">
        <v>55</v>
      </c>
      <c r="Q240" t="s">
        <v>1312</v>
      </c>
      <c r="R240">
        <v>4048</v>
      </c>
    </row>
    <row r="241" spans="1:18" x14ac:dyDescent="0.3">
      <c r="A241" t="s">
        <v>1313</v>
      </c>
      <c r="B241" s="1">
        <v>42703</v>
      </c>
      <c r="C241" s="1">
        <v>42707</v>
      </c>
      <c r="D241" s="1">
        <v>42675</v>
      </c>
      <c r="E241" t="s">
        <v>43</v>
      </c>
      <c r="F241" t="s">
        <v>1314</v>
      </c>
      <c r="G241" t="s">
        <v>1315</v>
      </c>
      <c r="H241" t="s">
        <v>34</v>
      </c>
      <c r="I241" t="s">
        <v>23</v>
      </c>
      <c r="J241" t="s">
        <v>1316</v>
      </c>
      <c r="K241" t="s">
        <v>186</v>
      </c>
      <c r="L241">
        <v>48126</v>
      </c>
      <c r="M241" t="s">
        <v>79</v>
      </c>
      <c r="N241" t="s">
        <v>1317</v>
      </c>
      <c r="O241" t="s">
        <v>28</v>
      </c>
      <c r="P241" t="s">
        <v>119</v>
      </c>
      <c r="Q241" t="s">
        <v>1318</v>
      </c>
      <c r="R241">
        <v>30196</v>
      </c>
    </row>
    <row r="242" spans="1:18" x14ac:dyDescent="0.3">
      <c r="A242" t="s">
        <v>1319</v>
      </c>
      <c r="B242" s="1">
        <v>43239</v>
      </c>
      <c r="C242" s="1">
        <v>43243</v>
      </c>
      <c r="D242" s="1">
        <v>43221</v>
      </c>
      <c r="E242" t="s">
        <v>43</v>
      </c>
      <c r="F242" t="s">
        <v>1320</v>
      </c>
      <c r="G242" t="s">
        <v>1321</v>
      </c>
      <c r="H242" t="s">
        <v>22</v>
      </c>
      <c r="I242" t="s">
        <v>23</v>
      </c>
      <c r="J242" t="s">
        <v>68</v>
      </c>
      <c r="K242" t="s">
        <v>69</v>
      </c>
      <c r="L242">
        <v>98115</v>
      </c>
      <c r="M242" t="s">
        <v>37</v>
      </c>
      <c r="N242" t="s">
        <v>1322</v>
      </c>
      <c r="O242" t="s">
        <v>39</v>
      </c>
      <c r="P242" t="s">
        <v>81</v>
      </c>
      <c r="Q242" t="s">
        <v>1323</v>
      </c>
      <c r="R242">
        <v>9716</v>
      </c>
    </row>
    <row r="243" spans="1:18" x14ac:dyDescent="0.3">
      <c r="A243" t="s">
        <v>1324</v>
      </c>
      <c r="B243" s="1">
        <v>43367</v>
      </c>
      <c r="C243" s="1">
        <v>43369</v>
      </c>
      <c r="D243" s="1">
        <v>43344</v>
      </c>
      <c r="E243" t="s">
        <v>19</v>
      </c>
      <c r="F243" t="s">
        <v>1155</v>
      </c>
      <c r="G243" t="s">
        <v>1156</v>
      </c>
      <c r="H243" t="s">
        <v>22</v>
      </c>
      <c r="I243" t="s">
        <v>23</v>
      </c>
      <c r="J243" t="s">
        <v>952</v>
      </c>
      <c r="K243" t="s">
        <v>47</v>
      </c>
      <c r="L243">
        <v>33180</v>
      </c>
      <c r="M243" t="s">
        <v>26</v>
      </c>
      <c r="N243" t="s">
        <v>1325</v>
      </c>
      <c r="O243" t="s">
        <v>147</v>
      </c>
      <c r="P243" t="s">
        <v>180</v>
      </c>
      <c r="Q243" t="s">
        <v>1326</v>
      </c>
      <c r="R243">
        <v>1788</v>
      </c>
    </row>
    <row r="244" spans="1:18" x14ac:dyDescent="0.3">
      <c r="A244" t="s">
        <v>1327</v>
      </c>
      <c r="B244" s="1">
        <v>42647</v>
      </c>
      <c r="C244" s="1">
        <v>42652</v>
      </c>
      <c r="D244" s="1">
        <v>42644</v>
      </c>
      <c r="E244" t="s">
        <v>19</v>
      </c>
      <c r="F244" t="s">
        <v>1328</v>
      </c>
      <c r="G244" t="s">
        <v>1329</v>
      </c>
      <c r="H244" t="s">
        <v>34</v>
      </c>
      <c r="I244" t="s">
        <v>23</v>
      </c>
      <c r="J244" t="s">
        <v>1330</v>
      </c>
      <c r="K244" t="s">
        <v>845</v>
      </c>
      <c r="L244">
        <v>31088</v>
      </c>
      <c r="M244" t="s">
        <v>26</v>
      </c>
      <c r="N244" t="s">
        <v>1331</v>
      </c>
      <c r="O244" t="s">
        <v>28</v>
      </c>
      <c r="P244" t="s">
        <v>119</v>
      </c>
      <c r="Q244" t="s">
        <v>1332</v>
      </c>
      <c r="R244">
        <v>39294</v>
      </c>
    </row>
    <row r="245" spans="1:18" x14ac:dyDescent="0.3">
      <c r="A245" t="s">
        <v>1333</v>
      </c>
      <c r="B245" s="1">
        <v>42962</v>
      </c>
      <c r="C245" s="1">
        <v>42968</v>
      </c>
      <c r="D245" s="1">
        <v>42948</v>
      </c>
      <c r="E245" t="s">
        <v>43</v>
      </c>
      <c r="F245" t="s">
        <v>1334</v>
      </c>
      <c r="G245" t="s">
        <v>1335</v>
      </c>
      <c r="H245" t="s">
        <v>22</v>
      </c>
      <c r="I245" t="s">
        <v>23</v>
      </c>
      <c r="J245" t="s">
        <v>345</v>
      </c>
      <c r="K245" t="s">
        <v>346</v>
      </c>
      <c r="L245">
        <v>80013</v>
      </c>
      <c r="M245" t="s">
        <v>37</v>
      </c>
      <c r="N245" t="s">
        <v>1336</v>
      </c>
      <c r="O245" t="s">
        <v>39</v>
      </c>
      <c r="P245" t="s">
        <v>71</v>
      </c>
      <c r="Q245" t="s">
        <v>1337</v>
      </c>
      <c r="R245">
        <v>18882</v>
      </c>
    </row>
    <row r="246" spans="1:18" x14ac:dyDescent="0.3">
      <c r="A246" t="s">
        <v>1338</v>
      </c>
      <c r="B246" s="1">
        <v>42875</v>
      </c>
      <c r="C246" s="1">
        <v>42880</v>
      </c>
      <c r="D246" s="1">
        <v>42856</v>
      </c>
      <c r="E246" t="s">
        <v>43</v>
      </c>
      <c r="F246" t="s">
        <v>333</v>
      </c>
      <c r="G246" t="s">
        <v>334</v>
      </c>
      <c r="H246" t="s">
        <v>76</v>
      </c>
      <c r="I246" t="s">
        <v>23</v>
      </c>
      <c r="J246" t="s">
        <v>1339</v>
      </c>
      <c r="K246" t="s">
        <v>36</v>
      </c>
      <c r="L246">
        <v>94591</v>
      </c>
      <c r="M246" t="s">
        <v>37</v>
      </c>
      <c r="N246" t="s">
        <v>1340</v>
      </c>
      <c r="O246" t="s">
        <v>28</v>
      </c>
      <c r="P246" t="s">
        <v>55</v>
      </c>
      <c r="Q246" t="s">
        <v>1341</v>
      </c>
      <c r="R246">
        <v>10492</v>
      </c>
    </row>
    <row r="247" spans="1:18" x14ac:dyDescent="0.3">
      <c r="A247" t="s">
        <v>1342</v>
      </c>
      <c r="B247" s="1">
        <v>43311</v>
      </c>
      <c r="C247" s="1">
        <v>43315</v>
      </c>
      <c r="D247" s="1">
        <v>43282</v>
      </c>
      <c r="E247" t="s">
        <v>19</v>
      </c>
      <c r="F247" t="s">
        <v>1343</v>
      </c>
      <c r="G247" t="s">
        <v>1344</v>
      </c>
      <c r="H247" t="s">
        <v>22</v>
      </c>
      <c r="I247" t="s">
        <v>23</v>
      </c>
      <c r="J247" t="s">
        <v>1345</v>
      </c>
      <c r="K247" t="s">
        <v>36</v>
      </c>
      <c r="L247">
        <v>92691</v>
      </c>
      <c r="M247" t="s">
        <v>37</v>
      </c>
      <c r="N247" t="s">
        <v>1346</v>
      </c>
      <c r="O247" t="s">
        <v>39</v>
      </c>
      <c r="P247" t="s">
        <v>89</v>
      </c>
      <c r="Q247" t="s">
        <v>1347</v>
      </c>
      <c r="R247">
        <v>3304</v>
      </c>
    </row>
    <row r="248" spans="1:18" x14ac:dyDescent="0.3">
      <c r="A248" t="s">
        <v>1348</v>
      </c>
      <c r="B248" s="1">
        <v>43302</v>
      </c>
      <c r="C248" s="1">
        <v>43306</v>
      </c>
      <c r="D248" s="1">
        <v>43282</v>
      </c>
      <c r="E248" t="s">
        <v>43</v>
      </c>
      <c r="F248" t="s">
        <v>451</v>
      </c>
      <c r="G248" t="s">
        <v>452</v>
      </c>
      <c r="H248" t="s">
        <v>76</v>
      </c>
      <c r="I248" t="s">
        <v>23</v>
      </c>
      <c r="J248" t="s">
        <v>1349</v>
      </c>
      <c r="K248" t="s">
        <v>701</v>
      </c>
      <c r="L248">
        <v>7060</v>
      </c>
      <c r="M248" t="s">
        <v>117</v>
      </c>
      <c r="N248" t="s">
        <v>1350</v>
      </c>
      <c r="O248" t="s">
        <v>39</v>
      </c>
      <c r="P248" t="s">
        <v>63</v>
      </c>
      <c r="Q248" t="s">
        <v>1351</v>
      </c>
      <c r="R248">
        <v>648</v>
      </c>
    </row>
    <row r="249" spans="1:18" x14ac:dyDescent="0.3">
      <c r="A249" t="s">
        <v>1352</v>
      </c>
      <c r="B249" s="1">
        <v>43464</v>
      </c>
      <c r="C249" s="1">
        <v>43470</v>
      </c>
      <c r="D249" s="1">
        <v>43435</v>
      </c>
      <c r="E249" t="s">
        <v>43</v>
      </c>
      <c r="F249" t="s">
        <v>1353</v>
      </c>
      <c r="G249" t="s">
        <v>1354</v>
      </c>
      <c r="H249" t="s">
        <v>76</v>
      </c>
      <c r="I249" t="s">
        <v>23</v>
      </c>
      <c r="J249" t="s">
        <v>376</v>
      </c>
      <c r="K249" t="s">
        <v>200</v>
      </c>
      <c r="L249">
        <v>47201</v>
      </c>
      <c r="M249" t="s">
        <v>79</v>
      </c>
      <c r="N249" t="s">
        <v>1355</v>
      </c>
      <c r="O249" t="s">
        <v>39</v>
      </c>
      <c r="P249" t="s">
        <v>81</v>
      </c>
      <c r="Q249" t="s">
        <v>1356</v>
      </c>
      <c r="R249">
        <v>2093</v>
      </c>
    </row>
    <row r="250" spans="1:18" x14ac:dyDescent="0.3">
      <c r="A250" t="s">
        <v>1357</v>
      </c>
      <c r="B250" s="1">
        <v>43031</v>
      </c>
      <c r="C250" s="1">
        <v>43037</v>
      </c>
      <c r="D250" s="1">
        <v>43009</v>
      </c>
      <c r="E250" t="s">
        <v>43</v>
      </c>
      <c r="F250" t="s">
        <v>1358</v>
      </c>
      <c r="G250" t="s">
        <v>1359</v>
      </c>
      <c r="H250" t="s">
        <v>76</v>
      </c>
      <c r="I250" t="s">
        <v>23</v>
      </c>
      <c r="J250" t="s">
        <v>206</v>
      </c>
      <c r="K250" t="s">
        <v>207</v>
      </c>
      <c r="L250">
        <v>10024</v>
      </c>
      <c r="M250" t="s">
        <v>117</v>
      </c>
      <c r="N250" t="s">
        <v>240</v>
      </c>
      <c r="O250" t="s">
        <v>39</v>
      </c>
      <c r="P250" t="s">
        <v>63</v>
      </c>
      <c r="Q250" t="s">
        <v>241</v>
      </c>
      <c r="R250">
        <v>3794</v>
      </c>
    </row>
    <row r="251" spans="1:18" x14ac:dyDescent="0.3">
      <c r="A251" t="s">
        <v>1360</v>
      </c>
      <c r="B251" s="1">
        <v>43270</v>
      </c>
      <c r="C251" s="1">
        <v>43274</v>
      </c>
      <c r="D251" s="1">
        <v>43252</v>
      </c>
      <c r="E251" t="s">
        <v>43</v>
      </c>
      <c r="F251" t="s">
        <v>882</v>
      </c>
      <c r="G251" t="s">
        <v>883</v>
      </c>
      <c r="H251" t="s">
        <v>34</v>
      </c>
      <c r="I251" t="s">
        <v>23</v>
      </c>
      <c r="J251" t="s">
        <v>206</v>
      </c>
      <c r="K251" t="s">
        <v>207</v>
      </c>
      <c r="L251">
        <v>10035</v>
      </c>
      <c r="M251" t="s">
        <v>117</v>
      </c>
      <c r="N251" t="s">
        <v>1361</v>
      </c>
      <c r="O251" t="s">
        <v>39</v>
      </c>
      <c r="P251" t="s">
        <v>63</v>
      </c>
      <c r="Q251" t="s">
        <v>1362</v>
      </c>
      <c r="R251">
        <v>9782</v>
      </c>
    </row>
    <row r="252" spans="1:18" x14ac:dyDescent="0.3">
      <c r="A252" t="s">
        <v>1363</v>
      </c>
      <c r="B252" s="1">
        <v>42969</v>
      </c>
      <c r="C252" s="1">
        <v>42975</v>
      </c>
      <c r="D252" s="1">
        <v>42948</v>
      </c>
      <c r="E252" t="s">
        <v>43</v>
      </c>
      <c r="F252" t="s">
        <v>1364</v>
      </c>
      <c r="G252" t="s">
        <v>1365</v>
      </c>
      <c r="H252" t="s">
        <v>22</v>
      </c>
      <c r="I252" t="s">
        <v>23</v>
      </c>
      <c r="J252" t="s">
        <v>376</v>
      </c>
      <c r="K252" t="s">
        <v>377</v>
      </c>
      <c r="L252">
        <v>43229</v>
      </c>
      <c r="M252" t="s">
        <v>117</v>
      </c>
      <c r="N252" t="s">
        <v>1366</v>
      </c>
      <c r="O252" t="s">
        <v>39</v>
      </c>
      <c r="P252" t="s">
        <v>81</v>
      </c>
      <c r="Q252" t="s">
        <v>1367</v>
      </c>
      <c r="R252">
        <v>113552</v>
      </c>
    </row>
    <row r="253" spans="1:18" x14ac:dyDescent="0.3">
      <c r="A253" t="s">
        <v>1368</v>
      </c>
      <c r="B253" s="1">
        <v>42997</v>
      </c>
      <c r="C253" s="1">
        <v>42997</v>
      </c>
      <c r="D253" s="1">
        <v>42979</v>
      </c>
      <c r="E253" t="s">
        <v>857</v>
      </c>
      <c r="F253" t="s">
        <v>1369</v>
      </c>
      <c r="G253" t="s">
        <v>1370</v>
      </c>
      <c r="H253" t="s">
        <v>76</v>
      </c>
      <c r="I253" t="s">
        <v>23</v>
      </c>
      <c r="J253" t="s">
        <v>345</v>
      </c>
      <c r="K253" t="s">
        <v>160</v>
      </c>
      <c r="L253">
        <v>60505</v>
      </c>
      <c r="M253" t="s">
        <v>79</v>
      </c>
      <c r="N253" t="s">
        <v>1371</v>
      </c>
      <c r="O253" t="s">
        <v>28</v>
      </c>
      <c r="P253" t="s">
        <v>119</v>
      </c>
      <c r="Q253" t="s">
        <v>1372</v>
      </c>
      <c r="R253">
        <v>701372</v>
      </c>
    </row>
    <row r="254" spans="1:18" x14ac:dyDescent="0.3">
      <c r="A254" t="s">
        <v>1373</v>
      </c>
      <c r="B254" s="1">
        <v>42606</v>
      </c>
      <c r="C254" s="1">
        <v>42610</v>
      </c>
      <c r="D254" s="1">
        <v>42583</v>
      </c>
      <c r="E254" t="s">
        <v>43</v>
      </c>
      <c r="F254" t="s">
        <v>565</v>
      </c>
      <c r="G254" t="s">
        <v>566</v>
      </c>
      <c r="H254" t="s">
        <v>22</v>
      </c>
      <c r="I254" t="s">
        <v>23</v>
      </c>
      <c r="J254" t="s">
        <v>1374</v>
      </c>
      <c r="K254" t="s">
        <v>78</v>
      </c>
      <c r="L254">
        <v>76017</v>
      </c>
      <c r="M254" t="s">
        <v>79</v>
      </c>
      <c r="N254" t="s">
        <v>1292</v>
      </c>
      <c r="O254" t="s">
        <v>39</v>
      </c>
      <c r="P254" t="s">
        <v>89</v>
      </c>
      <c r="Q254" t="s">
        <v>1293</v>
      </c>
      <c r="R254">
        <v>999432</v>
      </c>
    </row>
    <row r="255" spans="1:18" x14ac:dyDescent="0.3">
      <c r="A255" t="s">
        <v>1375</v>
      </c>
      <c r="B255" s="1">
        <v>42820</v>
      </c>
      <c r="C255" s="1">
        <v>42824</v>
      </c>
      <c r="D255" s="1">
        <v>42795</v>
      </c>
      <c r="E255" t="s">
        <v>43</v>
      </c>
      <c r="F255" t="s">
        <v>1376</v>
      </c>
      <c r="G255" t="s">
        <v>1377</v>
      </c>
      <c r="H255" t="s">
        <v>34</v>
      </c>
      <c r="I255" t="s">
        <v>23</v>
      </c>
      <c r="J255" t="s">
        <v>206</v>
      </c>
      <c r="K255" t="s">
        <v>207</v>
      </c>
      <c r="L255">
        <v>10011</v>
      </c>
      <c r="M255" t="s">
        <v>117</v>
      </c>
      <c r="N255" t="s">
        <v>1378</v>
      </c>
      <c r="O255" t="s">
        <v>39</v>
      </c>
      <c r="P255" t="s">
        <v>89</v>
      </c>
      <c r="Q255" t="s">
        <v>1379</v>
      </c>
      <c r="R255">
        <v>45995</v>
      </c>
    </row>
    <row r="256" spans="1:18" x14ac:dyDescent="0.3">
      <c r="A256" t="s">
        <v>1380</v>
      </c>
      <c r="B256" s="1">
        <v>43043</v>
      </c>
      <c r="C256" s="1">
        <v>43043</v>
      </c>
      <c r="D256" s="1">
        <v>43040</v>
      </c>
      <c r="E256" t="s">
        <v>857</v>
      </c>
      <c r="F256" t="s">
        <v>683</v>
      </c>
      <c r="G256" t="s">
        <v>684</v>
      </c>
      <c r="H256" t="s">
        <v>22</v>
      </c>
      <c r="I256" t="s">
        <v>23</v>
      </c>
      <c r="J256" t="s">
        <v>978</v>
      </c>
      <c r="K256" t="s">
        <v>25</v>
      </c>
      <c r="L256">
        <v>40214</v>
      </c>
      <c r="M256" t="s">
        <v>26</v>
      </c>
      <c r="N256" t="s">
        <v>378</v>
      </c>
      <c r="O256" t="s">
        <v>39</v>
      </c>
      <c r="P256" t="s">
        <v>209</v>
      </c>
      <c r="Q256" t="s">
        <v>379</v>
      </c>
      <c r="R256">
        <v>1074</v>
      </c>
    </row>
    <row r="257" spans="1:18" x14ac:dyDescent="0.3">
      <c r="A257" t="s">
        <v>1381</v>
      </c>
      <c r="B257" s="1">
        <v>43260</v>
      </c>
      <c r="C257" s="1">
        <v>43264</v>
      </c>
      <c r="D257" s="1">
        <v>43252</v>
      </c>
      <c r="E257" t="s">
        <v>43</v>
      </c>
      <c r="F257" t="s">
        <v>1382</v>
      </c>
      <c r="G257" t="s">
        <v>1383</v>
      </c>
      <c r="H257" t="s">
        <v>76</v>
      </c>
      <c r="I257" t="s">
        <v>23</v>
      </c>
      <c r="J257" t="s">
        <v>225</v>
      </c>
      <c r="K257" t="s">
        <v>160</v>
      </c>
      <c r="L257">
        <v>60653</v>
      </c>
      <c r="M257" t="s">
        <v>79</v>
      </c>
      <c r="N257" t="s">
        <v>1384</v>
      </c>
      <c r="O257" t="s">
        <v>28</v>
      </c>
      <c r="P257" t="s">
        <v>55</v>
      </c>
      <c r="Q257" t="s">
        <v>1385</v>
      </c>
      <c r="R257">
        <v>23976</v>
      </c>
    </row>
    <row r="258" spans="1:18" x14ac:dyDescent="0.3">
      <c r="A258" t="s">
        <v>1386</v>
      </c>
      <c r="B258" s="1">
        <v>43439</v>
      </c>
      <c r="C258" s="1">
        <v>43442</v>
      </c>
      <c r="D258" s="1">
        <v>43435</v>
      </c>
      <c r="E258" t="s">
        <v>142</v>
      </c>
      <c r="F258" t="s">
        <v>1387</v>
      </c>
      <c r="G258" t="s">
        <v>1388</v>
      </c>
      <c r="H258" t="s">
        <v>22</v>
      </c>
      <c r="I258" t="s">
        <v>23</v>
      </c>
      <c r="J258" t="s">
        <v>376</v>
      </c>
      <c r="K258" t="s">
        <v>200</v>
      </c>
      <c r="L258">
        <v>47201</v>
      </c>
      <c r="M258" t="s">
        <v>79</v>
      </c>
      <c r="N258" t="s">
        <v>1389</v>
      </c>
      <c r="O258" t="s">
        <v>39</v>
      </c>
      <c r="P258" t="s">
        <v>81</v>
      </c>
      <c r="Q258" t="s">
        <v>1390</v>
      </c>
      <c r="R258">
        <v>6144</v>
      </c>
    </row>
    <row r="259" spans="1:18" x14ac:dyDescent="0.3">
      <c r="A259" t="s">
        <v>1391</v>
      </c>
      <c r="B259" s="1">
        <v>43177</v>
      </c>
      <c r="C259" s="1">
        <v>43182</v>
      </c>
      <c r="D259" s="1">
        <v>43160</v>
      </c>
      <c r="E259" t="s">
        <v>43</v>
      </c>
      <c r="F259" t="s">
        <v>1392</v>
      </c>
      <c r="G259" t="s">
        <v>1393</v>
      </c>
      <c r="H259" t="s">
        <v>22</v>
      </c>
      <c r="I259" t="s">
        <v>23</v>
      </c>
      <c r="J259" t="s">
        <v>1394</v>
      </c>
      <c r="K259" t="s">
        <v>78</v>
      </c>
      <c r="L259">
        <v>75701</v>
      </c>
      <c r="M259" t="s">
        <v>79</v>
      </c>
      <c r="N259" t="s">
        <v>1395</v>
      </c>
      <c r="O259" t="s">
        <v>39</v>
      </c>
      <c r="P259" t="s">
        <v>81</v>
      </c>
      <c r="Q259" t="s">
        <v>1396</v>
      </c>
      <c r="R259">
        <v>2688</v>
      </c>
    </row>
    <row r="260" spans="1:18" x14ac:dyDescent="0.3">
      <c r="A260" t="s">
        <v>1397</v>
      </c>
      <c r="B260" s="1">
        <v>43058</v>
      </c>
      <c r="C260" s="1">
        <v>43063</v>
      </c>
      <c r="D260" s="1">
        <v>43040</v>
      </c>
      <c r="E260" t="s">
        <v>43</v>
      </c>
      <c r="F260" t="s">
        <v>1398</v>
      </c>
      <c r="G260" t="s">
        <v>1399</v>
      </c>
      <c r="H260" t="s">
        <v>22</v>
      </c>
      <c r="I260" t="s">
        <v>23</v>
      </c>
      <c r="J260" t="s">
        <v>206</v>
      </c>
      <c r="K260" t="s">
        <v>207</v>
      </c>
      <c r="L260">
        <v>10024</v>
      </c>
      <c r="M260" t="s">
        <v>117</v>
      </c>
      <c r="N260" t="s">
        <v>1400</v>
      </c>
      <c r="O260" t="s">
        <v>39</v>
      </c>
      <c r="P260" t="s">
        <v>71</v>
      </c>
      <c r="Q260" t="s">
        <v>1401</v>
      </c>
      <c r="R260">
        <v>14352</v>
      </c>
    </row>
    <row r="261" spans="1:18" x14ac:dyDescent="0.3">
      <c r="A261" t="s">
        <v>1402</v>
      </c>
      <c r="B261" s="1">
        <v>43408</v>
      </c>
      <c r="C261" s="1">
        <v>43408</v>
      </c>
      <c r="D261" s="1">
        <v>43405</v>
      </c>
      <c r="E261" t="s">
        <v>857</v>
      </c>
      <c r="F261" t="s">
        <v>1403</v>
      </c>
      <c r="G261" t="s">
        <v>1404</v>
      </c>
      <c r="H261" t="s">
        <v>34</v>
      </c>
      <c r="I261" t="s">
        <v>23</v>
      </c>
      <c r="J261" t="s">
        <v>1405</v>
      </c>
      <c r="K261" t="s">
        <v>61</v>
      </c>
      <c r="L261">
        <v>27217</v>
      </c>
      <c r="M261" t="s">
        <v>26</v>
      </c>
      <c r="N261" t="s">
        <v>1406</v>
      </c>
      <c r="O261" t="s">
        <v>147</v>
      </c>
      <c r="P261" t="s">
        <v>680</v>
      </c>
      <c r="Q261" t="s">
        <v>1407</v>
      </c>
      <c r="R261">
        <v>799998</v>
      </c>
    </row>
    <row r="262" spans="1:18" x14ac:dyDescent="0.3">
      <c r="A262" t="s">
        <v>1408</v>
      </c>
      <c r="B262" s="1">
        <v>42190</v>
      </c>
      <c r="C262" s="1">
        <v>42193</v>
      </c>
      <c r="D262" s="1">
        <v>42186</v>
      </c>
      <c r="E262" t="s">
        <v>142</v>
      </c>
      <c r="F262" t="s">
        <v>1409</v>
      </c>
      <c r="G262" t="s">
        <v>1410</v>
      </c>
      <c r="H262" t="s">
        <v>22</v>
      </c>
      <c r="I262" t="s">
        <v>23</v>
      </c>
      <c r="J262" t="s">
        <v>248</v>
      </c>
      <c r="K262" t="s">
        <v>984</v>
      </c>
      <c r="L262">
        <v>39212</v>
      </c>
      <c r="M262" t="s">
        <v>26</v>
      </c>
      <c r="N262" t="s">
        <v>1411</v>
      </c>
      <c r="O262" t="s">
        <v>147</v>
      </c>
      <c r="P262" t="s">
        <v>180</v>
      </c>
      <c r="Q262" t="s">
        <v>1412</v>
      </c>
      <c r="R262">
        <v>47997</v>
      </c>
    </row>
    <row r="263" spans="1:18" x14ac:dyDescent="0.3">
      <c r="A263" t="s">
        <v>1413</v>
      </c>
      <c r="B263" s="1">
        <v>42176</v>
      </c>
      <c r="C263" s="1">
        <v>42178</v>
      </c>
      <c r="D263" s="1">
        <v>42156</v>
      </c>
      <c r="E263" t="s">
        <v>19</v>
      </c>
      <c r="F263" t="s">
        <v>1414</v>
      </c>
      <c r="G263" t="s">
        <v>1415</v>
      </c>
      <c r="H263" t="s">
        <v>22</v>
      </c>
      <c r="I263" t="s">
        <v>23</v>
      </c>
      <c r="J263" t="s">
        <v>1416</v>
      </c>
      <c r="K263" t="s">
        <v>239</v>
      </c>
      <c r="L263">
        <v>22980</v>
      </c>
      <c r="M263" t="s">
        <v>26</v>
      </c>
      <c r="N263" t="s">
        <v>1417</v>
      </c>
      <c r="O263" t="s">
        <v>28</v>
      </c>
      <c r="P263" t="s">
        <v>55</v>
      </c>
      <c r="Q263" t="s">
        <v>1418</v>
      </c>
      <c r="R263">
        <v>10401</v>
      </c>
    </row>
    <row r="264" spans="1:18" x14ac:dyDescent="0.3">
      <c r="A264" t="s">
        <v>1419</v>
      </c>
      <c r="B264" s="1">
        <v>42457</v>
      </c>
      <c r="C264" s="1">
        <v>42462</v>
      </c>
      <c r="D264" s="1">
        <v>42430</v>
      </c>
      <c r="E264" t="s">
        <v>43</v>
      </c>
      <c r="F264" t="s">
        <v>1420</v>
      </c>
      <c r="G264" t="s">
        <v>1421</v>
      </c>
      <c r="H264" t="s">
        <v>22</v>
      </c>
      <c r="I264" t="s">
        <v>23</v>
      </c>
      <c r="J264" t="s">
        <v>35</v>
      </c>
      <c r="K264" t="s">
        <v>36</v>
      </c>
      <c r="L264">
        <v>90036</v>
      </c>
      <c r="M264" t="s">
        <v>37</v>
      </c>
      <c r="N264" t="s">
        <v>1422</v>
      </c>
      <c r="O264" t="s">
        <v>147</v>
      </c>
      <c r="P264" t="s">
        <v>180</v>
      </c>
      <c r="Q264" t="s">
        <v>1423</v>
      </c>
      <c r="R264">
        <v>16624</v>
      </c>
    </row>
    <row r="265" spans="1:18" x14ac:dyDescent="0.3">
      <c r="A265" t="s">
        <v>1424</v>
      </c>
      <c r="B265" s="1">
        <v>42504</v>
      </c>
      <c r="C265" s="1">
        <v>42507</v>
      </c>
      <c r="D265" s="1">
        <v>42491</v>
      </c>
      <c r="E265" t="s">
        <v>142</v>
      </c>
      <c r="F265" t="s">
        <v>1425</v>
      </c>
      <c r="G265" t="s">
        <v>1426</v>
      </c>
      <c r="H265" t="s">
        <v>76</v>
      </c>
      <c r="I265" t="s">
        <v>23</v>
      </c>
      <c r="J265" t="s">
        <v>1427</v>
      </c>
      <c r="K265" t="s">
        <v>116</v>
      </c>
      <c r="L265">
        <v>19013</v>
      </c>
      <c r="M265" t="s">
        <v>117</v>
      </c>
      <c r="N265" t="s">
        <v>772</v>
      </c>
      <c r="O265" t="s">
        <v>39</v>
      </c>
      <c r="P265" t="s">
        <v>103</v>
      </c>
      <c r="Q265" t="s">
        <v>773</v>
      </c>
      <c r="R265">
        <v>198272</v>
      </c>
    </row>
    <row r="266" spans="1:18" x14ac:dyDescent="0.3">
      <c r="A266" t="s">
        <v>1428</v>
      </c>
      <c r="B266" s="1">
        <v>43345</v>
      </c>
      <c r="C266" s="1">
        <v>43351</v>
      </c>
      <c r="D266" s="1">
        <v>43344</v>
      </c>
      <c r="E266" t="s">
        <v>43</v>
      </c>
      <c r="F266" t="s">
        <v>672</v>
      </c>
      <c r="G266" t="s">
        <v>673</v>
      </c>
      <c r="H266" t="s">
        <v>34</v>
      </c>
      <c r="I266" t="s">
        <v>23</v>
      </c>
      <c r="J266" t="s">
        <v>1429</v>
      </c>
      <c r="K266" t="s">
        <v>377</v>
      </c>
      <c r="L266">
        <v>44105</v>
      </c>
      <c r="M266" t="s">
        <v>117</v>
      </c>
      <c r="N266" t="s">
        <v>597</v>
      </c>
      <c r="O266" t="s">
        <v>28</v>
      </c>
      <c r="P266" t="s">
        <v>55</v>
      </c>
      <c r="Q266" t="s">
        <v>598</v>
      </c>
      <c r="R266">
        <v>15072</v>
      </c>
    </row>
    <row r="267" spans="1:18" x14ac:dyDescent="0.3">
      <c r="A267" t="s">
        <v>1430</v>
      </c>
      <c r="B267" s="1">
        <v>42469</v>
      </c>
      <c r="C267" s="1">
        <v>42474</v>
      </c>
      <c r="D267" s="1">
        <v>42461</v>
      </c>
      <c r="E267" t="s">
        <v>43</v>
      </c>
      <c r="F267" t="s">
        <v>1431</v>
      </c>
      <c r="G267" t="s">
        <v>1432</v>
      </c>
      <c r="H267" t="s">
        <v>22</v>
      </c>
      <c r="I267" t="s">
        <v>23</v>
      </c>
      <c r="J267" t="s">
        <v>1252</v>
      </c>
      <c r="K267" t="s">
        <v>36</v>
      </c>
      <c r="L267">
        <v>90805</v>
      </c>
      <c r="M267" t="s">
        <v>37</v>
      </c>
      <c r="N267" t="s">
        <v>1433</v>
      </c>
      <c r="O267" t="s">
        <v>28</v>
      </c>
      <c r="P267" t="s">
        <v>49</v>
      </c>
      <c r="Q267" t="s">
        <v>1434</v>
      </c>
      <c r="R267">
        <v>369912</v>
      </c>
    </row>
    <row r="268" spans="1:18" x14ac:dyDescent="0.3">
      <c r="A268" t="s">
        <v>1435</v>
      </c>
      <c r="B268" s="1">
        <v>42340</v>
      </c>
      <c r="C268" s="1">
        <v>42342</v>
      </c>
      <c r="D268" s="1">
        <v>42339</v>
      </c>
      <c r="E268" t="s">
        <v>142</v>
      </c>
      <c r="F268" t="s">
        <v>1436</v>
      </c>
      <c r="G268" t="s">
        <v>1437</v>
      </c>
      <c r="H268" t="s">
        <v>22</v>
      </c>
      <c r="I268" t="s">
        <v>23</v>
      </c>
      <c r="J268" t="s">
        <v>206</v>
      </c>
      <c r="K268" t="s">
        <v>207</v>
      </c>
      <c r="L268">
        <v>10035</v>
      </c>
      <c r="M268" t="s">
        <v>117</v>
      </c>
      <c r="N268" t="s">
        <v>710</v>
      </c>
      <c r="O268" t="s">
        <v>147</v>
      </c>
      <c r="P268" t="s">
        <v>180</v>
      </c>
      <c r="Q268" t="s">
        <v>711</v>
      </c>
      <c r="R268">
        <v>11996</v>
      </c>
    </row>
    <row r="269" spans="1:18" x14ac:dyDescent="0.3">
      <c r="A269" t="s">
        <v>1438</v>
      </c>
      <c r="B269" s="1">
        <v>42099</v>
      </c>
      <c r="C269" s="1">
        <v>42101</v>
      </c>
      <c r="D269" s="1">
        <v>42095</v>
      </c>
      <c r="E269" t="s">
        <v>142</v>
      </c>
      <c r="F269" t="s">
        <v>1439</v>
      </c>
      <c r="G269" t="s">
        <v>1440</v>
      </c>
      <c r="H269" t="s">
        <v>76</v>
      </c>
      <c r="I269" t="s">
        <v>23</v>
      </c>
      <c r="J269" t="s">
        <v>206</v>
      </c>
      <c r="K269" t="s">
        <v>207</v>
      </c>
      <c r="L269">
        <v>10035</v>
      </c>
      <c r="M269" t="s">
        <v>117</v>
      </c>
      <c r="N269" t="s">
        <v>1441</v>
      </c>
      <c r="O269" t="s">
        <v>39</v>
      </c>
      <c r="P269" t="s">
        <v>63</v>
      </c>
      <c r="Q269" t="s">
        <v>1442</v>
      </c>
      <c r="R269">
        <v>5548</v>
      </c>
    </row>
    <row r="270" spans="1:18" x14ac:dyDescent="0.3">
      <c r="A270" t="s">
        <v>1443</v>
      </c>
      <c r="B270" s="1">
        <v>42186</v>
      </c>
      <c r="C270" s="1">
        <v>42191</v>
      </c>
      <c r="D270" s="1">
        <v>42186</v>
      </c>
      <c r="E270" t="s">
        <v>19</v>
      </c>
      <c r="F270" t="s">
        <v>672</v>
      </c>
      <c r="G270" t="s">
        <v>673</v>
      </c>
      <c r="H270" t="s">
        <v>34</v>
      </c>
      <c r="I270" t="s">
        <v>23</v>
      </c>
      <c r="J270" t="s">
        <v>68</v>
      </c>
      <c r="K270" t="s">
        <v>69</v>
      </c>
      <c r="L270">
        <v>98105</v>
      </c>
      <c r="M270" t="s">
        <v>37</v>
      </c>
      <c r="N270" t="s">
        <v>1444</v>
      </c>
      <c r="O270" t="s">
        <v>39</v>
      </c>
      <c r="P270" t="s">
        <v>71</v>
      </c>
      <c r="Q270" t="s">
        <v>1445</v>
      </c>
      <c r="R270">
        <v>1992</v>
      </c>
    </row>
    <row r="271" spans="1:18" x14ac:dyDescent="0.3">
      <c r="A271" t="s">
        <v>1446</v>
      </c>
      <c r="B271" s="1">
        <v>42015</v>
      </c>
      <c r="C271" s="1">
        <v>42018</v>
      </c>
      <c r="D271" s="1">
        <v>42005</v>
      </c>
      <c r="E271" t="s">
        <v>142</v>
      </c>
      <c r="F271" t="s">
        <v>1447</v>
      </c>
      <c r="G271" t="s">
        <v>1448</v>
      </c>
      <c r="H271" t="s">
        <v>22</v>
      </c>
      <c r="I271" t="s">
        <v>23</v>
      </c>
      <c r="J271" t="s">
        <v>192</v>
      </c>
      <c r="K271" t="s">
        <v>193</v>
      </c>
      <c r="L271">
        <v>19901</v>
      </c>
      <c r="M271" t="s">
        <v>117</v>
      </c>
      <c r="N271" t="s">
        <v>1449</v>
      </c>
      <c r="O271" t="s">
        <v>28</v>
      </c>
      <c r="P271" t="s">
        <v>55</v>
      </c>
      <c r="Q271" t="s">
        <v>1450</v>
      </c>
      <c r="R271">
        <v>994</v>
      </c>
    </row>
    <row r="272" spans="1:18" x14ac:dyDescent="0.3">
      <c r="A272" t="s">
        <v>1451</v>
      </c>
      <c r="B272" s="1">
        <v>42157</v>
      </c>
      <c r="C272" s="1">
        <v>42162</v>
      </c>
      <c r="D272" s="1">
        <v>42156</v>
      </c>
      <c r="E272" t="s">
        <v>43</v>
      </c>
      <c r="F272" t="s">
        <v>1452</v>
      </c>
      <c r="G272" t="s">
        <v>1453</v>
      </c>
      <c r="H272" t="s">
        <v>76</v>
      </c>
      <c r="I272" t="s">
        <v>23</v>
      </c>
      <c r="J272" t="s">
        <v>124</v>
      </c>
      <c r="K272" t="s">
        <v>95</v>
      </c>
      <c r="L272">
        <v>84057</v>
      </c>
      <c r="M272" t="s">
        <v>37</v>
      </c>
      <c r="N272" t="s">
        <v>1454</v>
      </c>
      <c r="O272" t="s">
        <v>39</v>
      </c>
      <c r="P272" t="s">
        <v>71</v>
      </c>
      <c r="Q272" t="s">
        <v>1455</v>
      </c>
      <c r="R272">
        <v>59808</v>
      </c>
    </row>
    <row r="273" spans="1:18" x14ac:dyDescent="0.3">
      <c r="A273" t="s">
        <v>1456</v>
      </c>
      <c r="B273" s="1">
        <v>42779</v>
      </c>
      <c r="C273" s="1">
        <v>42784</v>
      </c>
      <c r="D273" s="1">
        <v>42767</v>
      </c>
      <c r="E273" t="s">
        <v>43</v>
      </c>
      <c r="F273" t="s">
        <v>1457</v>
      </c>
      <c r="G273" t="s">
        <v>1458</v>
      </c>
      <c r="H273" t="s">
        <v>76</v>
      </c>
      <c r="I273" t="s">
        <v>23</v>
      </c>
      <c r="J273" t="s">
        <v>35</v>
      </c>
      <c r="K273" t="s">
        <v>36</v>
      </c>
      <c r="L273">
        <v>90045</v>
      </c>
      <c r="M273" t="s">
        <v>37</v>
      </c>
      <c r="N273" t="s">
        <v>1459</v>
      </c>
      <c r="O273" t="s">
        <v>39</v>
      </c>
      <c r="P273" t="s">
        <v>63</v>
      </c>
      <c r="Q273" t="s">
        <v>1460</v>
      </c>
      <c r="R273">
        <v>14682</v>
      </c>
    </row>
    <row r="274" spans="1:18" x14ac:dyDescent="0.3">
      <c r="A274" t="s">
        <v>1461</v>
      </c>
      <c r="B274" s="1">
        <v>43084</v>
      </c>
      <c r="C274" s="1">
        <v>43088</v>
      </c>
      <c r="D274" s="1">
        <v>43070</v>
      </c>
      <c r="E274" t="s">
        <v>43</v>
      </c>
      <c r="F274" t="s">
        <v>1462</v>
      </c>
      <c r="G274" t="s">
        <v>1463</v>
      </c>
      <c r="H274" t="s">
        <v>34</v>
      </c>
      <c r="I274" t="s">
        <v>23</v>
      </c>
      <c r="J274" t="s">
        <v>628</v>
      </c>
      <c r="K274" t="s">
        <v>186</v>
      </c>
      <c r="L274">
        <v>48205</v>
      </c>
      <c r="M274" t="s">
        <v>79</v>
      </c>
      <c r="N274" t="s">
        <v>1464</v>
      </c>
      <c r="O274" t="s">
        <v>28</v>
      </c>
      <c r="P274" t="s">
        <v>49</v>
      </c>
      <c r="Q274" t="s">
        <v>1465</v>
      </c>
      <c r="R274">
        <v>165294</v>
      </c>
    </row>
    <row r="275" spans="1:18" x14ac:dyDescent="0.3">
      <c r="A275" t="s">
        <v>1466</v>
      </c>
      <c r="B275" s="1">
        <v>42284</v>
      </c>
      <c r="C275" s="1">
        <v>42290</v>
      </c>
      <c r="D275" s="1">
        <v>42278</v>
      </c>
      <c r="E275" t="s">
        <v>43</v>
      </c>
      <c r="F275" t="s">
        <v>1467</v>
      </c>
      <c r="G275" t="s">
        <v>1468</v>
      </c>
      <c r="H275" t="s">
        <v>76</v>
      </c>
      <c r="I275" t="s">
        <v>23</v>
      </c>
      <c r="J275" t="s">
        <v>115</v>
      </c>
      <c r="K275" t="s">
        <v>116</v>
      </c>
      <c r="L275">
        <v>19140</v>
      </c>
      <c r="M275" t="s">
        <v>117</v>
      </c>
      <c r="N275" t="s">
        <v>1469</v>
      </c>
      <c r="O275" t="s">
        <v>28</v>
      </c>
      <c r="P275" t="s">
        <v>55</v>
      </c>
      <c r="Q275" t="s">
        <v>1470</v>
      </c>
      <c r="R275">
        <v>12992</v>
      </c>
    </row>
    <row r="276" spans="1:18" x14ac:dyDescent="0.3">
      <c r="A276" t="s">
        <v>1471</v>
      </c>
      <c r="B276" s="1">
        <v>42923</v>
      </c>
      <c r="C276" s="1">
        <v>42928</v>
      </c>
      <c r="D276" s="1">
        <v>42917</v>
      </c>
      <c r="E276" t="s">
        <v>43</v>
      </c>
      <c r="F276" t="s">
        <v>1472</v>
      </c>
      <c r="G276" t="s">
        <v>1473</v>
      </c>
      <c r="H276" t="s">
        <v>34</v>
      </c>
      <c r="I276" t="s">
        <v>23</v>
      </c>
      <c r="J276" t="s">
        <v>1474</v>
      </c>
      <c r="K276" t="s">
        <v>47</v>
      </c>
      <c r="L276">
        <v>33012</v>
      </c>
      <c r="M276" t="s">
        <v>26</v>
      </c>
      <c r="N276" t="s">
        <v>1475</v>
      </c>
      <c r="O276" t="s">
        <v>39</v>
      </c>
      <c r="P276" t="s">
        <v>1264</v>
      </c>
      <c r="Q276" t="s">
        <v>1476</v>
      </c>
      <c r="R276">
        <v>45584</v>
      </c>
    </row>
    <row r="277" spans="1:18" x14ac:dyDescent="0.3">
      <c r="A277" t="s">
        <v>1477</v>
      </c>
      <c r="B277" s="1">
        <v>43072</v>
      </c>
      <c r="C277" s="1">
        <v>43075</v>
      </c>
      <c r="D277" s="1">
        <v>43070</v>
      </c>
      <c r="E277" t="s">
        <v>142</v>
      </c>
      <c r="F277" t="s">
        <v>1478</v>
      </c>
      <c r="G277" t="s">
        <v>1479</v>
      </c>
      <c r="H277" t="s">
        <v>22</v>
      </c>
      <c r="I277" t="s">
        <v>23</v>
      </c>
      <c r="J277" t="s">
        <v>1480</v>
      </c>
      <c r="K277" t="s">
        <v>207</v>
      </c>
      <c r="L277">
        <v>11572</v>
      </c>
      <c r="M277" t="s">
        <v>117</v>
      </c>
      <c r="N277" t="s">
        <v>1481</v>
      </c>
      <c r="O277" t="s">
        <v>39</v>
      </c>
      <c r="P277" t="s">
        <v>63</v>
      </c>
      <c r="Q277" t="s">
        <v>1482</v>
      </c>
      <c r="R277">
        <v>18272</v>
      </c>
    </row>
    <row r="278" spans="1:18" x14ac:dyDescent="0.3">
      <c r="A278" t="s">
        <v>1483</v>
      </c>
      <c r="B278" s="1">
        <v>43121</v>
      </c>
      <c r="C278" s="1">
        <v>43125</v>
      </c>
      <c r="D278" s="1">
        <v>43101</v>
      </c>
      <c r="E278" t="s">
        <v>43</v>
      </c>
      <c r="F278" t="s">
        <v>1484</v>
      </c>
      <c r="G278" t="s">
        <v>1485</v>
      </c>
      <c r="H278" t="s">
        <v>76</v>
      </c>
      <c r="I278" t="s">
        <v>23</v>
      </c>
      <c r="J278" t="s">
        <v>68</v>
      </c>
      <c r="K278" t="s">
        <v>69</v>
      </c>
      <c r="L278">
        <v>98115</v>
      </c>
      <c r="M278" t="s">
        <v>37</v>
      </c>
      <c r="N278" t="s">
        <v>1486</v>
      </c>
      <c r="O278" t="s">
        <v>39</v>
      </c>
      <c r="P278" t="s">
        <v>89</v>
      </c>
      <c r="Q278" t="s">
        <v>1487</v>
      </c>
      <c r="R278">
        <v>24294</v>
      </c>
    </row>
    <row r="279" spans="1:18" x14ac:dyDescent="0.3">
      <c r="A279" t="s">
        <v>1488</v>
      </c>
      <c r="B279" s="1">
        <v>42008</v>
      </c>
      <c r="C279" s="1">
        <v>42012</v>
      </c>
      <c r="D279" s="1">
        <v>42005</v>
      </c>
      <c r="E279" t="s">
        <v>43</v>
      </c>
      <c r="F279" t="s">
        <v>1489</v>
      </c>
      <c r="G279" t="s">
        <v>1490</v>
      </c>
      <c r="H279" t="s">
        <v>76</v>
      </c>
      <c r="I279" t="s">
        <v>23</v>
      </c>
      <c r="J279" t="s">
        <v>159</v>
      </c>
      <c r="K279" t="s">
        <v>160</v>
      </c>
      <c r="L279">
        <v>60540</v>
      </c>
      <c r="M279" t="s">
        <v>79</v>
      </c>
      <c r="N279" t="s">
        <v>1491</v>
      </c>
      <c r="O279" t="s">
        <v>39</v>
      </c>
      <c r="P279" t="s">
        <v>40</v>
      </c>
      <c r="Q279" t="s">
        <v>1492</v>
      </c>
      <c r="R279">
        <v>11784</v>
      </c>
    </row>
    <row r="280" spans="1:18" x14ac:dyDescent="0.3">
      <c r="A280" t="s">
        <v>1493</v>
      </c>
      <c r="B280" s="1">
        <v>42974</v>
      </c>
      <c r="C280" s="1">
        <v>42979</v>
      </c>
      <c r="D280" s="1">
        <v>42948</v>
      </c>
      <c r="E280" t="s">
        <v>43</v>
      </c>
      <c r="F280" t="s">
        <v>1494</v>
      </c>
      <c r="G280" t="s">
        <v>1495</v>
      </c>
      <c r="H280" t="s">
        <v>22</v>
      </c>
      <c r="I280" t="s">
        <v>23</v>
      </c>
      <c r="J280" t="s">
        <v>590</v>
      </c>
      <c r="K280" t="s">
        <v>78</v>
      </c>
      <c r="L280">
        <v>75220</v>
      </c>
      <c r="M280" t="s">
        <v>79</v>
      </c>
      <c r="N280" t="s">
        <v>1263</v>
      </c>
      <c r="O280" t="s">
        <v>39</v>
      </c>
      <c r="P280" t="s">
        <v>1264</v>
      </c>
      <c r="Q280" t="s">
        <v>1265</v>
      </c>
      <c r="R280">
        <v>5152</v>
      </c>
    </row>
    <row r="281" spans="1:18" x14ac:dyDescent="0.3">
      <c r="A281" t="s">
        <v>1496</v>
      </c>
      <c r="B281" s="1">
        <v>42151</v>
      </c>
      <c r="C281" s="1">
        <v>42151</v>
      </c>
      <c r="D281" s="1">
        <v>42125</v>
      </c>
      <c r="E281" t="s">
        <v>857</v>
      </c>
      <c r="F281" t="s">
        <v>1497</v>
      </c>
      <c r="G281" t="s">
        <v>1498</v>
      </c>
      <c r="H281" t="s">
        <v>34</v>
      </c>
      <c r="I281" t="s">
        <v>23</v>
      </c>
      <c r="J281" t="s">
        <v>663</v>
      </c>
      <c r="K281" t="s">
        <v>36</v>
      </c>
      <c r="L281">
        <v>92105</v>
      </c>
      <c r="M281" t="s">
        <v>37</v>
      </c>
      <c r="N281" t="s">
        <v>1499</v>
      </c>
      <c r="O281" t="s">
        <v>28</v>
      </c>
      <c r="P281" t="s">
        <v>49</v>
      </c>
      <c r="Q281" t="s">
        <v>1500</v>
      </c>
      <c r="R281">
        <v>56712</v>
      </c>
    </row>
    <row r="282" spans="1:18" x14ac:dyDescent="0.3">
      <c r="A282" t="s">
        <v>1501</v>
      </c>
      <c r="B282" s="1">
        <v>43375</v>
      </c>
      <c r="C282" s="1">
        <v>43379</v>
      </c>
      <c r="D282" s="1">
        <v>43374</v>
      </c>
      <c r="E282" t="s">
        <v>43</v>
      </c>
      <c r="F282" t="s">
        <v>1502</v>
      </c>
      <c r="G282" t="s">
        <v>1503</v>
      </c>
      <c r="H282" t="s">
        <v>22</v>
      </c>
      <c r="I282" t="s">
        <v>23</v>
      </c>
      <c r="J282" t="s">
        <v>1504</v>
      </c>
      <c r="K282" t="s">
        <v>186</v>
      </c>
      <c r="L282">
        <v>48183</v>
      </c>
      <c r="M282" t="s">
        <v>79</v>
      </c>
      <c r="N282" t="s">
        <v>1505</v>
      </c>
      <c r="O282" t="s">
        <v>39</v>
      </c>
      <c r="P282" t="s">
        <v>71</v>
      </c>
      <c r="Q282" t="s">
        <v>1506</v>
      </c>
      <c r="R282">
        <v>5805</v>
      </c>
    </row>
    <row r="283" spans="1:18" x14ac:dyDescent="0.3">
      <c r="A283" t="s">
        <v>1507</v>
      </c>
      <c r="B283" s="1">
        <v>42832</v>
      </c>
      <c r="C283" s="1">
        <v>42834</v>
      </c>
      <c r="D283" s="1">
        <v>42826</v>
      </c>
      <c r="E283" t="s">
        <v>142</v>
      </c>
      <c r="F283" t="s">
        <v>1508</v>
      </c>
      <c r="G283" t="s">
        <v>1509</v>
      </c>
      <c r="H283" t="s">
        <v>34</v>
      </c>
      <c r="I283" t="s">
        <v>23</v>
      </c>
      <c r="J283" t="s">
        <v>101</v>
      </c>
      <c r="K283" t="s">
        <v>36</v>
      </c>
      <c r="L283">
        <v>94110</v>
      </c>
      <c r="M283" t="s">
        <v>37</v>
      </c>
      <c r="N283" t="s">
        <v>1510</v>
      </c>
      <c r="O283" t="s">
        <v>147</v>
      </c>
      <c r="P283" t="s">
        <v>1143</v>
      </c>
      <c r="Q283" t="s">
        <v>1511</v>
      </c>
      <c r="R283">
        <v>1199976</v>
      </c>
    </row>
    <row r="284" spans="1:18" x14ac:dyDescent="0.3">
      <c r="A284" t="s">
        <v>1512</v>
      </c>
      <c r="B284" s="1">
        <v>42367</v>
      </c>
      <c r="C284" s="1">
        <v>42371</v>
      </c>
      <c r="D284" s="1">
        <v>42339</v>
      </c>
      <c r="E284" t="s">
        <v>43</v>
      </c>
      <c r="F284" t="s">
        <v>1513</v>
      </c>
      <c r="G284" t="s">
        <v>1514</v>
      </c>
      <c r="H284" t="s">
        <v>22</v>
      </c>
      <c r="I284" t="s">
        <v>23</v>
      </c>
      <c r="J284" t="s">
        <v>1515</v>
      </c>
      <c r="K284" t="s">
        <v>178</v>
      </c>
      <c r="L284">
        <v>55016</v>
      </c>
      <c r="M284" t="s">
        <v>79</v>
      </c>
      <c r="N284" t="s">
        <v>1516</v>
      </c>
      <c r="O284" t="s">
        <v>39</v>
      </c>
      <c r="P284" t="s">
        <v>89</v>
      </c>
      <c r="Q284" t="s">
        <v>1517</v>
      </c>
      <c r="R284">
        <v>2456</v>
      </c>
    </row>
    <row r="285" spans="1:18" x14ac:dyDescent="0.3">
      <c r="A285" t="s">
        <v>1518</v>
      </c>
      <c r="B285" s="1">
        <v>43304</v>
      </c>
      <c r="C285" s="1">
        <v>43309</v>
      </c>
      <c r="D285" s="1">
        <v>43282</v>
      </c>
      <c r="E285" t="s">
        <v>43</v>
      </c>
      <c r="F285" t="s">
        <v>1519</v>
      </c>
      <c r="G285" t="s">
        <v>1520</v>
      </c>
      <c r="H285" t="s">
        <v>34</v>
      </c>
      <c r="I285" t="s">
        <v>23</v>
      </c>
      <c r="J285" t="s">
        <v>206</v>
      </c>
      <c r="K285" t="s">
        <v>207</v>
      </c>
      <c r="L285">
        <v>10009</v>
      </c>
      <c r="M285" t="s">
        <v>117</v>
      </c>
      <c r="N285" t="s">
        <v>1297</v>
      </c>
      <c r="O285" t="s">
        <v>39</v>
      </c>
      <c r="P285" t="s">
        <v>71</v>
      </c>
      <c r="Q285" t="s">
        <v>1298</v>
      </c>
      <c r="R285">
        <v>13128</v>
      </c>
    </row>
    <row r="286" spans="1:18" x14ac:dyDescent="0.3">
      <c r="A286" t="s">
        <v>1521</v>
      </c>
      <c r="B286" s="1">
        <v>42613</v>
      </c>
      <c r="C286" s="1">
        <v>42618</v>
      </c>
      <c r="D286" s="1">
        <v>42583</v>
      </c>
      <c r="E286" t="s">
        <v>43</v>
      </c>
      <c r="F286" t="s">
        <v>1295</v>
      </c>
      <c r="G286" t="s">
        <v>1296</v>
      </c>
      <c r="H286" t="s">
        <v>22</v>
      </c>
      <c r="I286" t="s">
        <v>23</v>
      </c>
      <c r="J286" t="s">
        <v>35</v>
      </c>
      <c r="K286" t="s">
        <v>36</v>
      </c>
      <c r="L286">
        <v>90004</v>
      </c>
      <c r="M286" t="s">
        <v>37</v>
      </c>
      <c r="N286" t="s">
        <v>1522</v>
      </c>
      <c r="O286" t="s">
        <v>39</v>
      </c>
      <c r="P286" t="s">
        <v>63</v>
      </c>
      <c r="Q286" t="s">
        <v>1523</v>
      </c>
      <c r="R286">
        <v>5832</v>
      </c>
    </row>
    <row r="287" spans="1:18" x14ac:dyDescent="0.3">
      <c r="A287" t="s">
        <v>1524</v>
      </c>
      <c r="B287" s="1">
        <v>42408</v>
      </c>
      <c r="C287" s="1">
        <v>42413</v>
      </c>
      <c r="D287" s="1">
        <v>42401</v>
      </c>
      <c r="E287" t="s">
        <v>43</v>
      </c>
      <c r="F287" t="s">
        <v>1525</v>
      </c>
      <c r="G287" t="s">
        <v>1526</v>
      </c>
      <c r="H287" t="s">
        <v>22</v>
      </c>
      <c r="I287" t="s">
        <v>23</v>
      </c>
      <c r="J287" t="s">
        <v>376</v>
      </c>
      <c r="K287" t="s">
        <v>377</v>
      </c>
      <c r="L287">
        <v>43229</v>
      </c>
      <c r="M287" t="s">
        <v>117</v>
      </c>
      <c r="N287" t="s">
        <v>1527</v>
      </c>
      <c r="O287" t="s">
        <v>147</v>
      </c>
      <c r="P287" t="s">
        <v>148</v>
      </c>
      <c r="Q287" t="s">
        <v>1528</v>
      </c>
      <c r="R287">
        <v>107982</v>
      </c>
    </row>
    <row r="288" spans="1:18" x14ac:dyDescent="0.3">
      <c r="A288" t="s">
        <v>1529</v>
      </c>
      <c r="B288" s="1">
        <v>42017</v>
      </c>
      <c r="C288" s="1">
        <v>42019</v>
      </c>
      <c r="D288" s="1">
        <v>42005</v>
      </c>
      <c r="E288" t="s">
        <v>19</v>
      </c>
      <c r="F288" t="s">
        <v>1530</v>
      </c>
      <c r="G288" t="s">
        <v>1531</v>
      </c>
      <c r="H288" t="s">
        <v>34</v>
      </c>
      <c r="I288" t="s">
        <v>23</v>
      </c>
      <c r="J288" t="s">
        <v>1532</v>
      </c>
      <c r="K288" t="s">
        <v>532</v>
      </c>
      <c r="L288">
        <v>71111</v>
      </c>
      <c r="M288" t="s">
        <v>26</v>
      </c>
      <c r="N288" t="s">
        <v>492</v>
      </c>
      <c r="O288" t="s">
        <v>39</v>
      </c>
      <c r="P288" t="s">
        <v>154</v>
      </c>
      <c r="Q288" t="s">
        <v>493</v>
      </c>
      <c r="R288">
        <v>1136</v>
      </c>
    </row>
    <row r="289" spans="1:18" x14ac:dyDescent="0.3">
      <c r="A289" t="s">
        <v>1533</v>
      </c>
      <c r="B289" s="1">
        <v>42138</v>
      </c>
      <c r="C289" s="1">
        <v>42144</v>
      </c>
      <c r="D289" s="1">
        <v>42125</v>
      </c>
      <c r="E289" t="s">
        <v>43</v>
      </c>
      <c r="F289" t="s">
        <v>1534</v>
      </c>
      <c r="G289" t="s">
        <v>1535</v>
      </c>
      <c r="H289" t="s">
        <v>34</v>
      </c>
      <c r="I289" t="s">
        <v>23</v>
      </c>
      <c r="J289" t="s">
        <v>766</v>
      </c>
      <c r="K289" t="s">
        <v>47</v>
      </c>
      <c r="L289">
        <v>33710</v>
      </c>
      <c r="M289" t="s">
        <v>26</v>
      </c>
      <c r="N289" t="s">
        <v>1536</v>
      </c>
      <c r="O289" t="s">
        <v>28</v>
      </c>
      <c r="P289" t="s">
        <v>55</v>
      </c>
      <c r="Q289" t="s">
        <v>1537</v>
      </c>
      <c r="R289">
        <v>31088</v>
      </c>
    </row>
    <row r="290" spans="1:18" x14ac:dyDescent="0.3">
      <c r="A290" t="s">
        <v>1538</v>
      </c>
      <c r="B290" s="1">
        <v>42874</v>
      </c>
      <c r="C290" s="1">
        <v>42879</v>
      </c>
      <c r="D290" s="1">
        <v>42856</v>
      </c>
      <c r="E290" t="s">
        <v>43</v>
      </c>
      <c r="F290" t="s">
        <v>1539</v>
      </c>
      <c r="G290" t="s">
        <v>1540</v>
      </c>
      <c r="H290" t="s">
        <v>22</v>
      </c>
      <c r="I290" t="s">
        <v>23</v>
      </c>
      <c r="J290" t="s">
        <v>1374</v>
      </c>
      <c r="K290" t="s">
        <v>239</v>
      </c>
      <c r="L290">
        <v>22204</v>
      </c>
      <c r="M290" t="s">
        <v>26</v>
      </c>
      <c r="N290" t="s">
        <v>1541</v>
      </c>
      <c r="O290" t="s">
        <v>28</v>
      </c>
      <c r="P290" t="s">
        <v>119</v>
      </c>
      <c r="Q290" t="s">
        <v>1542</v>
      </c>
      <c r="R290">
        <v>64196</v>
      </c>
    </row>
    <row r="291" spans="1:18" x14ac:dyDescent="0.3">
      <c r="A291" t="s">
        <v>1543</v>
      </c>
      <c r="B291" s="1">
        <v>43130</v>
      </c>
      <c r="C291" s="1">
        <v>43136</v>
      </c>
      <c r="D291" s="1">
        <v>43101</v>
      </c>
      <c r="E291" t="s">
        <v>43</v>
      </c>
      <c r="F291" t="s">
        <v>1544</v>
      </c>
      <c r="G291" t="s">
        <v>1545</v>
      </c>
      <c r="H291" t="s">
        <v>34</v>
      </c>
      <c r="I291" t="s">
        <v>23</v>
      </c>
      <c r="J291" t="s">
        <v>921</v>
      </c>
      <c r="K291" t="s">
        <v>370</v>
      </c>
      <c r="L291">
        <v>50315</v>
      </c>
      <c r="M291" t="s">
        <v>79</v>
      </c>
      <c r="N291" t="s">
        <v>1546</v>
      </c>
      <c r="O291" t="s">
        <v>39</v>
      </c>
      <c r="P291" t="s">
        <v>71</v>
      </c>
      <c r="Q291" t="s">
        <v>1547</v>
      </c>
      <c r="R291">
        <v>1828</v>
      </c>
    </row>
    <row r="292" spans="1:18" x14ac:dyDescent="0.3">
      <c r="A292" t="s">
        <v>1548</v>
      </c>
      <c r="B292" s="1">
        <v>42184</v>
      </c>
      <c r="C292" s="1">
        <v>42191</v>
      </c>
      <c r="D292" s="1">
        <v>42156</v>
      </c>
      <c r="E292" t="s">
        <v>43</v>
      </c>
      <c r="F292" t="s">
        <v>1549</v>
      </c>
      <c r="G292" t="s">
        <v>1550</v>
      </c>
      <c r="H292" t="s">
        <v>22</v>
      </c>
      <c r="I292" t="s">
        <v>23</v>
      </c>
      <c r="J292" t="s">
        <v>910</v>
      </c>
      <c r="K292" t="s">
        <v>377</v>
      </c>
      <c r="L292">
        <v>45231</v>
      </c>
      <c r="M292" t="s">
        <v>117</v>
      </c>
      <c r="N292" t="s">
        <v>1551</v>
      </c>
      <c r="O292" t="s">
        <v>39</v>
      </c>
      <c r="P292" t="s">
        <v>103</v>
      </c>
      <c r="Q292" t="s">
        <v>1552</v>
      </c>
      <c r="R292">
        <v>3276</v>
      </c>
    </row>
    <row r="293" spans="1:18" x14ac:dyDescent="0.3">
      <c r="A293" t="s">
        <v>1553</v>
      </c>
      <c r="B293" s="1">
        <v>42603</v>
      </c>
      <c r="C293" s="1">
        <v>42605</v>
      </c>
      <c r="D293" s="1">
        <v>42583</v>
      </c>
      <c r="E293" t="s">
        <v>142</v>
      </c>
      <c r="F293" t="s">
        <v>1554</v>
      </c>
      <c r="G293" t="s">
        <v>1555</v>
      </c>
      <c r="H293" t="s">
        <v>76</v>
      </c>
      <c r="I293" t="s">
        <v>23</v>
      </c>
      <c r="J293" t="s">
        <v>101</v>
      </c>
      <c r="K293" t="s">
        <v>36</v>
      </c>
      <c r="L293">
        <v>94110</v>
      </c>
      <c r="M293" t="s">
        <v>37</v>
      </c>
      <c r="N293" t="s">
        <v>1556</v>
      </c>
      <c r="O293" t="s">
        <v>28</v>
      </c>
      <c r="P293" t="s">
        <v>119</v>
      </c>
      <c r="Q293" t="s">
        <v>1557</v>
      </c>
      <c r="R293">
        <v>544008</v>
      </c>
    </row>
    <row r="294" spans="1:18" x14ac:dyDescent="0.3">
      <c r="A294" t="s">
        <v>1558</v>
      </c>
      <c r="B294" s="1">
        <v>42646</v>
      </c>
      <c r="C294" s="1">
        <v>42649</v>
      </c>
      <c r="D294" s="1">
        <v>42644</v>
      </c>
      <c r="E294" t="s">
        <v>19</v>
      </c>
      <c r="F294" t="s">
        <v>1559</v>
      </c>
      <c r="G294" t="s">
        <v>1560</v>
      </c>
      <c r="H294" t="s">
        <v>22</v>
      </c>
      <c r="I294" t="s">
        <v>23</v>
      </c>
      <c r="J294" t="s">
        <v>376</v>
      </c>
      <c r="K294" t="s">
        <v>377</v>
      </c>
      <c r="L294">
        <v>43229</v>
      </c>
      <c r="M294" t="s">
        <v>117</v>
      </c>
      <c r="N294" t="s">
        <v>1561</v>
      </c>
      <c r="O294" t="s">
        <v>39</v>
      </c>
      <c r="P294" t="s">
        <v>71</v>
      </c>
      <c r="Q294" t="s">
        <v>1562</v>
      </c>
      <c r="R294">
        <v>3207</v>
      </c>
    </row>
    <row r="295" spans="1:18" x14ac:dyDescent="0.3">
      <c r="A295" t="s">
        <v>1563</v>
      </c>
      <c r="B295" s="1">
        <v>42513</v>
      </c>
      <c r="C295" s="1">
        <v>42518</v>
      </c>
      <c r="D295" s="1">
        <v>42491</v>
      </c>
      <c r="E295" t="s">
        <v>43</v>
      </c>
      <c r="F295" t="s">
        <v>637</v>
      </c>
      <c r="G295" t="s">
        <v>638</v>
      </c>
      <c r="H295" t="s">
        <v>34</v>
      </c>
      <c r="I295" t="s">
        <v>23</v>
      </c>
      <c r="J295" t="s">
        <v>283</v>
      </c>
      <c r="K295" t="s">
        <v>284</v>
      </c>
      <c r="L295">
        <v>29203</v>
      </c>
      <c r="M295" t="s">
        <v>26</v>
      </c>
      <c r="N295" t="s">
        <v>1564</v>
      </c>
      <c r="O295" t="s">
        <v>39</v>
      </c>
      <c r="P295" t="s">
        <v>154</v>
      </c>
      <c r="Q295" t="s">
        <v>1565</v>
      </c>
      <c r="R295">
        <v>18669</v>
      </c>
    </row>
    <row r="296" spans="1:18" x14ac:dyDescent="0.3">
      <c r="A296" t="s">
        <v>1566</v>
      </c>
      <c r="B296" s="1">
        <v>43176</v>
      </c>
      <c r="C296" s="1">
        <v>43180</v>
      </c>
      <c r="D296" s="1">
        <v>43160</v>
      </c>
      <c r="E296" t="s">
        <v>19</v>
      </c>
      <c r="F296" t="s">
        <v>367</v>
      </c>
      <c r="G296" t="s">
        <v>368</v>
      </c>
      <c r="H296" t="s">
        <v>22</v>
      </c>
      <c r="I296" t="s">
        <v>23</v>
      </c>
      <c r="J296" t="s">
        <v>1567</v>
      </c>
      <c r="K296" t="s">
        <v>36</v>
      </c>
      <c r="L296">
        <v>93534</v>
      </c>
      <c r="M296" t="s">
        <v>37</v>
      </c>
      <c r="N296" t="s">
        <v>1568</v>
      </c>
      <c r="O296" t="s">
        <v>39</v>
      </c>
      <c r="P296" t="s">
        <v>71</v>
      </c>
      <c r="Q296" t="s">
        <v>1569</v>
      </c>
      <c r="R296">
        <v>17456</v>
      </c>
    </row>
    <row r="297" spans="1:18" x14ac:dyDescent="0.3">
      <c r="A297" t="s">
        <v>1570</v>
      </c>
      <c r="B297" s="1">
        <v>42716</v>
      </c>
      <c r="C297" s="1">
        <v>42720</v>
      </c>
      <c r="D297" s="1">
        <v>42705</v>
      </c>
      <c r="E297" t="s">
        <v>43</v>
      </c>
      <c r="F297" t="s">
        <v>1571</v>
      </c>
      <c r="G297" t="s">
        <v>1572</v>
      </c>
      <c r="H297" t="s">
        <v>22</v>
      </c>
      <c r="I297" t="s">
        <v>23</v>
      </c>
      <c r="J297" t="s">
        <v>1567</v>
      </c>
      <c r="K297" t="s">
        <v>36</v>
      </c>
      <c r="L297">
        <v>93534</v>
      </c>
      <c r="M297" t="s">
        <v>37</v>
      </c>
      <c r="N297" t="s">
        <v>1573</v>
      </c>
      <c r="O297" t="s">
        <v>28</v>
      </c>
      <c r="P297" t="s">
        <v>119</v>
      </c>
      <c r="Q297" t="s">
        <v>1574</v>
      </c>
      <c r="R297">
        <v>348928</v>
      </c>
    </row>
    <row r="298" spans="1:18" x14ac:dyDescent="0.3">
      <c r="A298" t="s">
        <v>1575</v>
      </c>
      <c r="B298" s="1">
        <v>43364</v>
      </c>
      <c r="C298" s="1">
        <v>43369</v>
      </c>
      <c r="D298" s="1">
        <v>43344</v>
      </c>
      <c r="E298" t="s">
        <v>43</v>
      </c>
      <c r="F298" t="s">
        <v>1576</v>
      </c>
      <c r="G298" t="s">
        <v>1577</v>
      </c>
      <c r="H298" t="s">
        <v>22</v>
      </c>
      <c r="I298" t="s">
        <v>23</v>
      </c>
      <c r="J298" t="s">
        <v>290</v>
      </c>
      <c r="K298" t="s">
        <v>178</v>
      </c>
      <c r="L298">
        <v>55901</v>
      </c>
      <c r="M298" t="s">
        <v>79</v>
      </c>
      <c r="N298" t="s">
        <v>1578</v>
      </c>
      <c r="O298" t="s">
        <v>39</v>
      </c>
      <c r="P298" t="s">
        <v>71</v>
      </c>
      <c r="Q298" t="s">
        <v>1579</v>
      </c>
      <c r="R298">
        <v>2016</v>
      </c>
    </row>
    <row r="299" spans="1:18" x14ac:dyDescent="0.3">
      <c r="A299" t="s">
        <v>1580</v>
      </c>
      <c r="B299" s="1">
        <v>43151</v>
      </c>
      <c r="C299" s="1">
        <v>43154</v>
      </c>
      <c r="D299" s="1">
        <v>43132</v>
      </c>
      <c r="E299" t="s">
        <v>142</v>
      </c>
      <c r="F299" t="s">
        <v>1581</v>
      </c>
      <c r="G299" t="s">
        <v>1582</v>
      </c>
      <c r="H299" t="s">
        <v>34</v>
      </c>
      <c r="I299" t="s">
        <v>23</v>
      </c>
      <c r="J299" t="s">
        <v>663</v>
      </c>
      <c r="K299" t="s">
        <v>36</v>
      </c>
      <c r="L299">
        <v>92105</v>
      </c>
      <c r="M299" t="s">
        <v>37</v>
      </c>
      <c r="N299" t="s">
        <v>1583</v>
      </c>
      <c r="O299" t="s">
        <v>28</v>
      </c>
      <c r="P299" t="s">
        <v>55</v>
      </c>
      <c r="Q299" t="s">
        <v>1584</v>
      </c>
      <c r="R299">
        <v>2223</v>
      </c>
    </row>
    <row r="300" spans="1:18" x14ac:dyDescent="0.3">
      <c r="A300" t="s">
        <v>1585</v>
      </c>
      <c r="B300" s="1">
        <v>42965</v>
      </c>
      <c r="C300" s="1">
        <v>42970</v>
      </c>
      <c r="D300" s="1">
        <v>42948</v>
      </c>
      <c r="E300" t="s">
        <v>19</v>
      </c>
      <c r="F300" t="s">
        <v>1581</v>
      </c>
      <c r="G300" t="s">
        <v>1582</v>
      </c>
      <c r="H300" t="s">
        <v>34</v>
      </c>
      <c r="I300" t="s">
        <v>23</v>
      </c>
      <c r="J300" t="s">
        <v>206</v>
      </c>
      <c r="K300" t="s">
        <v>207</v>
      </c>
      <c r="L300">
        <v>10024</v>
      </c>
      <c r="M300" t="s">
        <v>117</v>
      </c>
      <c r="N300" t="s">
        <v>1586</v>
      </c>
      <c r="O300" t="s">
        <v>39</v>
      </c>
      <c r="P300" t="s">
        <v>81</v>
      </c>
      <c r="Q300" t="s">
        <v>1587</v>
      </c>
      <c r="R300">
        <v>35532</v>
      </c>
    </row>
    <row r="301" spans="1:18" x14ac:dyDescent="0.3">
      <c r="A301" t="s">
        <v>1588</v>
      </c>
      <c r="B301" s="1">
        <v>42806</v>
      </c>
      <c r="C301" s="1">
        <v>42811</v>
      </c>
      <c r="D301" s="1">
        <v>42795</v>
      </c>
      <c r="E301" t="s">
        <v>43</v>
      </c>
      <c r="F301" t="s">
        <v>1589</v>
      </c>
      <c r="G301" t="s">
        <v>1590</v>
      </c>
      <c r="H301" t="s">
        <v>34</v>
      </c>
      <c r="I301" t="s">
        <v>23</v>
      </c>
      <c r="J301" t="s">
        <v>531</v>
      </c>
      <c r="K301" t="s">
        <v>532</v>
      </c>
      <c r="L301">
        <v>71203</v>
      </c>
      <c r="M301" t="s">
        <v>26</v>
      </c>
      <c r="N301" t="s">
        <v>1591</v>
      </c>
      <c r="O301" t="s">
        <v>39</v>
      </c>
      <c r="P301" t="s">
        <v>63</v>
      </c>
      <c r="Q301" t="s">
        <v>1592</v>
      </c>
      <c r="R301">
        <v>1296</v>
      </c>
    </row>
    <row r="302" spans="1:18" x14ac:dyDescent="0.3">
      <c r="A302" t="s">
        <v>1593</v>
      </c>
      <c r="B302" s="1">
        <v>43212</v>
      </c>
      <c r="C302" s="1">
        <v>43214</v>
      </c>
      <c r="D302" s="1">
        <v>43191</v>
      </c>
      <c r="E302" t="s">
        <v>142</v>
      </c>
      <c r="F302" t="s">
        <v>1594</v>
      </c>
      <c r="G302" t="s">
        <v>1595</v>
      </c>
      <c r="H302" t="s">
        <v>22</v>
      </c>
      <c r="I302" t="s">
        <v>23</v>
      </c>
      <c r="J302" t="s">
        <v>101</v>
      </c>
      <c r="K302" t="s">
        <v>36</v>
      </c>
      <c r="L302">
        <v>94122</v>
      </c>
      <c r="M302" t="s">
        <v>37</v>
      </c>
      <c r="N302" t="s">
        <v>1596</v>
      </c>
      <c r="O302" t="s">
        <v>28</v>
      </c>
      <c r="P302" t="s">
        <v>55</v>
      </c>
      <c r="Q302" t="s">
        <v>1597</v>
      </c>
      <c r="R302">
        <v>1828</v>
      </c>
    </row>
    <row r="303" spans="1:18" x14ac:dyDescent="0.3">
      <c r="A303" t="s">
        <v>1598</v>
      </c>
      <c r="B303" s="1">
        <v>42309</v>
      </c>
      <c r="C303" s="1">
        <v>42315</v>
      </c>
      <c r="D303" s="1">
        <v>42309</v>
      </c>
      <c r="E303" t="s">
        <v>43</v>
      </c>
      <c r="F303" t="s">
        <v>887</v>
      </c>
      <c r="G303" t="s">
        <v>888</v>
      </c>
      <c r="H303" t="s">
        <v>22</v>
      </c>
      <c r="I303" t="s">
        <v>23</v>
      </c>
      <c r="J303" t="s">
        <v>584</v>
      </c>
      <c r="K303" t="s">
        <v>346</v>
      </c>
      <c r="L303">
        <v>80219</v>
      </c>
      <c r="M303" t="s">
        <v>37</v>
      </c>
      <c r="N303" t="s">
        <v>1599</v>
      </c>
      <c r="O303" t="s">
        <v>39</v>
      </c>
      <c r="P303" t="s">
        <v>103</v>
      </c>
      <c r="Q303" t="s">
        <v>1600</v>
      </c>
      <c r="R303">
        <v>43176</v>
      </c>
    </row>
    <row r="304" spans="1:18" x14ac:dyDescent="0.3">
      <c r="A304" t="s">
        <v>1601</v>
      </c>
      <c r="B304" s="1">
        <v>42403</v>
      </c>
      <c r="C304" s="1">
        <v>42405</v>
      </c>
      <c r="D304" s="1">
        <v>42401</v>
      </c>
      <c r="E304" t="s">
        <v>142</v>
      </c>
      <c r="F304" t="s">
        <v>1184</v>
      </c>
      <c r="G304" t="s">
        <v>1185</v>
      </c>
      <c r="H304" t="s">
        <v>22</v>
      </c>
      <c r="I304" t="s">
        <v>23</v>
      </c>
      <c r="J304" t="s">
        <v>1602</v>
      </c>
      <c r="K304" t="s">
        <v>109</v>
      </c>
      <c r="L304">
        <v>68104</v>
      </c>
      <c r="M304" t="s">
        <v>79</v>
      </c>
      <c r="N304" t="s">
        <v>1242</v>
      </c>
      <c r="O304" t="s">
        <v>28</v>
      </c>
      <c r="P304" t="s">
        <v>55</v>
      </c>
      <c r="Q304" t="s">
        <v>1243</v>
      </c>
      <c r="R304">
        <v>284</v>
      </c>
    </row>
    <row r="305" spans="1:18" x14ac:dyDescent="0.3">
      <c r="A305" t="s">
        <v>1603</v>
      </c>
      <c r="B305" s="1">
        <v>42290</v>
      </c>
      <c r="C305" s="1">
        <v>42292</v>
      </c>
      <c r="D305" s="1">
        <v>42278</v>
      </c>
      <c r="E305" t="s">
        <v>142</v>
      </c>
      <c r="F305" t="s">
        <v>1273</v>
      </c>
      <c r="G305" t="s">
        <v>1274</v>
      </c>
      <c r="H305" t="s">
        <v>22</v>
      </c>
      <c r="I305" t="s">
        <v>23</v>
      </c>
      <c r="J305" t="s">
        <v>1604</v>
      </c>
      <c r="K305" t="s">
        <v>69</v>
      </c>
      <c r="L305">
        <v>98026</v>
      </c>
      <c r="M305" t="s">
        <v>37</v>
      </c>
      <c r="N305" t="s">
        <v>1605</v>
      </c>
      <c r="O305" t="s">
        <v>39</v>
      </c>
      <c r="P305" t="s">
        <v>103</v>
      </c>
      <c r="Q305" t="s">
        <v>1606</v>
      </c>
      <c r="R305">
        <v>1152</v>
      </c>
    </row>
    <row r="306" spans="1:18" x14ac:dyDescent="0.3">
      <c r="A306" t="s">
        <v>1607</v>
      </c>
      <c r="B306" s="1">
        <v>43234</v>
      </c>
      <c r="C306" s="1">
        <v>43234</v>
      </c>
      <c r="D306" s="1">
        <v>43221</v>
      </c>
      <c r="E306" t="s">
        <v>857</v>
      </c>
      <c r="F306" t="s">
        <v>1608</v>
      </c>
      <c r="G306" t="s">
        <v>1609</v>
      </c>
      <c r="H306" t="s">
        <v>22</v>
      </c>
      <c r="I306" t="s">
        <v>23</v>
      </c>
      <c r="J306" t="s">
        <v>1610</v>
      </c>
      <c r="K306" t="s">
        <v>36</v>
      </c>
      <c r="L306">
        <v>92704</v>
      </c>
      <c r="M306" t="s">
        <v>37</v>
      </c>
      <c r="N306" t="s">
        <v>1596</v>
      </c>
      <c r="O306" t="s">
        <v>28</v>
      </c>
      <c r="P306" t="s">
        <v>55</v>
      </c>
      <c r="Q306" t="s">
        <v>1597</v>
      </c>
      <c r="R306">
        <v>1828</v>
      </c>
    </row>
    <row r="307" spans="1:18" x14ac:dyDescent="0.3">
      <c r="A307" t="s">
        <v>1611</v>
      </c>
      <c r="B307" s="1">
        <v>42449</v>
      </c>
      <c r="C307" s="1">
        <v>42452</v>
      </c>
      <c r="D307" s="1">
        <v>42430</v>
      </c>
      <c r="E307" t="s">
        <v>142</v>
      </c>
      <c r="F307" t="s">
        <v>1612</v>
      </c>
      <c r="G307" t="s">
        <v>1613</v>
      </c>
      <c r="H307" t="s">
        <v>34</v>
      </c>
      <c r="I307" t="s">
        <v>23</v>
      </c>
      <c r="J307" t="s">
        <v>1614</v>
      </c>
      <c r="K307" t="s">
        <v>87</v>
      </c>
      <c r="L307">
        <v>53209</v>
      </c>
      <c r="M307" t="s">
        <v>79</v>
      </c>
      <c r="N307" t="s">
        <v>1615</v>
      </c>
      <c r="O307" t="s">
        <v>39</v>
      </c>
      <c r="P307" t="s">
        <v>63</v>
      </c>
      <c r="Q307" t="s">
        <v>1616</v>
      </c>
      <c r="R307">
        <v>5184</v>
      </c>
    </row>
    <row r="308" spans="1:18" x14ac:dyDescent="0.3">
      <c r="A308" t="s">
        <v>1617</v>
      </c>
      <c r="B308" s="1">
        <v>42993</v>
      </c>
      <c r="C308" s="1">
        <v>42997</v>
      </c>
      <c r="D308" s="1">
        <v>42979</v>
      </c>
      <c r="E308" t="s">
        <v>43</v>
      </c>
      <c r="F308" t="s">
        <v>1146</v>
      </c>
      <c r="G308" t="s">
        <v>1147</v>
      </c>
      <c r="H308" t="s">
        <v>22</v>
      </c>
      <c r="I308" t="s">
        <v>23</v>
      </c>
      <c r="J308" t="s">
        <v>115</v>
      </c>
      <c r="K308" t="s">
        <v>116</v>
      </c>
      <c r="L308">
        <v>19140</v>
      </c>
      <c r="M308" t="s">
        <v>117</v>
      </c>
      <c r="N308" t="s">
        <v>1618</v>
      </c>
      <c r="O308" t="s">
        <v>39</v>
      </c>
      <c r="P308" t="s">
        <v>63</v>
      </c>
      <c r="Q308" t="s">
        <v>1619</v>
      </c>
      <c r="R308">
        <v>5344</v>
      </c>
    </row>
    <row r="309" spans="1:18" x14ac:dyDescent="0.3">
      <c r="A309" t="s">
        <v>1620</v>
      </c>
      <c r="B309" s="1">
        <v>42183</v>
      </c>
      <c r="C309" s="1">
        <v>42187</v>
      </c>
      <c r="D309" s="1">
        <v>42156</v>
      </c>
      <c r="E309" t="s">
        <v>43</v>
      </c>
      <c r="F309" t="s">
        <v>1621</v>
      </c>
      <c r="G309" t="s">
        <v>1622</v>
      </c>
      <c r="H309" t="s">
        <v>22</v>
      </c>
      <c r="I309" t="s">
        <v>23</v>
      </c>
      <c r="J309" t="s">
        <v>115</v>
      </c>
      <c r="K309" t="s">
        <v>116</v>
      </c>
      <c r="L309">
        <v>19140</v>
      </c>
      <c r="M309" t="s">
        <v>117</v>
      </c>
      <c r="N309" t="s">
        <v>1623</v>
      </c>
      <c r="O309" t="s">
        <v>39</v>
      </c>
      <c r="P309" t="s">
        <v>63</v>
      </c>
      <c r="Q309" t="s">
        <v>1624</v>
      </c>
      <c r="R309">
        <v>41472</v>
      </c>
    </row>
    <row r="310" spans="1:18" x14ac:dyDescent="0.3">
      <c r="A310" t="s">
        <v>1625</v>
      </c>
      <c r="B310" s="1">
        <v>43271</v>
      </c>
      <c r="C310" s="1">
        <v>43278</v>
      </c>
      <c r="D310" s="1">
        <v>43252</v>
      </c>
      <c r="E310" t="s">
        <v>43</v>
      </c>
      <c r="F310" t="s">
        <v>1626</v>
      </c>
      <c r="G310" t="s">
        <v>1627</v>
      </c>
      <c r="H310" t="s">
        <v>22</v>
      </c>
      <c r="I310" t="s">
        <v>23</v>
      </c>
      <c r="J310" t="s">
        <v>1628</v>
      </c>
      <c r="K310" t="s">
        <v>701</v>
      </c>
      <c r="L310">
        <v>7109</v>
      </c>
      <c r="M310" t="s">
        <v>117</v>
      </c>
      <c r="N310" t="s">
        <v>1629</v>
      </c>
      <c r="O310" t="s">
        <v>147</v>
      </c>
      <c r="P310" t="s">
        <v>180</v>
      </c>
      <c r="Q310" t="s">
        <v>1630</v>
      </c>
      <c r="R310">
        <v>23997</v>
      </c>
    </row>
    <row r="311" spans="1:18" x14ac:dyDescent="0.3">
      <c r="A311" t="s">
        <v>1631</v>
      </c>
      <c r="B311" s="1">
        <v>42133</v>
      </c>
      <c r="C311" s="1">
        <v>42139</v>
      </c>
      <c r="D311" s="1">
        <v>42125</v>
      </c>
      <c r="E311" t="s">
        <v>43</v>
      </c>
      <c r="F311" t="s">
        <v>1632</v>
      </c>
      <c r="G311" t="s">
        <v>1633</v>
      </c>
      <c r="H311" t="s">
        <v>22</v>
      </c>
      <c r="I311" t="s">
        <v>23</v>
      </c>
      <c r="J311" t="s">
        <v>101</v>
      </c>
      <c r="K311" t="s">
        <v>36</v>
      </c>
      <c r="L311">
        <v>94110</v>
      </c>
      <c r="M311" t="s">
        <v>37</v>
      </c>
      <c r="N311" t="s">
        <v>1634</v>
      </c>
      <c r="O311" t="s">
        <v>147</v>
      </c>
      <c r="P311" t="s">
        <v>180</v>
      </c>
      <c r="Q311" t="s">
        <v>1635</v>
      </c>
      <c r="R311">
        <v>678</v>
      </c>
    </row>
    <row r="312" spans="1:18" x14ac:dyDescent="0.3">
      <c r="A312" t="s">
        <v>1636</v>
      </c>
      <c r="B312" s="1">
        <v>42939</v>
      </c>
      <c r="C312" s="1">
        <v>42943</v>
      </c>
      <c r="D312" s="1">
        <v>42917</v>
      </c>
      <c r="E312" t="s">
        <v>43</v>
      </c>
      <c r="F312" t="s">
        <v>511</v>
      </c>
      <c r="G312" t="s">
        <v>512</v>
      </c>
      <c r="H312" t="s">
        <v>34</v>
      </c>
      <c r="I312" t="s">
        <v>23</v>
      </c>
      <c r="J312" t="s">
        <v>642</v>
      </c>
      <c r="K312" t="s">
        <v>47</v>
      </c>
      <c r="L312">
        <v>33614</v>
      </c>
      <c r="M312" t="s">
        <v>26</v>
      </c>
      <c r="N312" t="s">
        <v>1637</v>
      </c>
      <c r="O312" t="s">
        <v>39</v>
      </c>
      <c r="P312" t="s">
        <v>103</v>
      </c>
      <c r="Q312" t="s">
        <v>1638</v>
      </c>
      <c r="R312">
        <v>35216</v>
      </c>
    </row>
    <row r="313" spans="1:18" x14ac:dyDescent="0.3">
      <c r="A313" t="s">
        <v>1639</v>
      </c>
      <c r="B313" s="1">
        <v>42801</v>
      </c>
      <c r="C313" s="1">
        <v>42806</v>
      </c>
      <c r="D313" s="1">
        <v>42795</v>
      </c>
      <c r="E313" t="s">
        <v>43</v>
      </c>
      <c r="F313" t="s">
        <v>1030</v>
      </c>
      <c r="G313" t="s">
        <v>1031</v>
      </c>
      <c r="H313" t="s">
        <v>34</v>
      </c>
      <c r="I313" t="s">
        <v>23</v>
      </c>
      <c r="J313" t="s">
        <v>77</v>
      </c>
      <c r="K313" t="s">
        <v>78</v>
      </c>
      <c r="L313">
        <v>76106</v>
      </c>
      <c r="M313" t="s">
        <v>79</v>
      </c>
      <c r="N313" t="s">
        <v>1640</v>
      </c>
      <c r="O313" t="s">
        <v>147</v>
      </c>
      <c r="P313" t="s">
        <v>148</v>
      </c>
      <c r="Q313" t="s">
        <v>1641</v>
      </c>
      <c r="R313">
        <v>21072</v>
      </c>
    </row>
    <row r="314" spans="1:18" x14ac:dyDescent="0.3">
      <c r="A314" t="s">
        <v>1642</v>
      </c>
      <c r="B314" s="1">
        <v>42694</v>
      </c>
      <c r="C314" s="1">
        <v>42699</v>
      </c>
      <c r="D314" s="1">
        <v>42675</v>
      </c>
      <c r="E314" t="s">
        <v>43</v>
      </c>
      <c r="F314" t="s">
        <v>1643</v>
      </c>
      <c r="G314" t="s">
        <v>1644</v>
      </c>
      <c r="H314" t="s">
        <v>34</v>
      </c>
      <c r="I314" t="s">
        <v>23</v>
      </c>
      <c r="J314" t="s">
        <v>206</v>
      </c>
      <c r="K314" t="s">
        <v>207</v>
      </c>
      <c r="L314">
        <v>10035</v>
      </c>
      <c r="M314" t="s">
        <v>117</v>
      </c>
      <c r="N314" t="s">
        <v>1645</v>
      </c>
      <c r="O314" t="s">
        <v>39</v>
      </c>
      <c r="P314" t="s">
        <v>103</v>
      </c>
      <c r="Q314" t="s">
        <v>1646</v>
      </c>
      <c r="R314">
        <v>6045</v>
      </c>
    </row>
    <row r="315" spans="1:18" x14ac:dyDescent="0.3">
      <c r="A315" t="s">
        <v>1647</v>
      </c>
      <c r="B315" s="1">
        <v>42656</v>
      </c>
      <c r="C315" s="1">
        <v>42660</v>
      </c>
      <c r="D315" s="1">
        <v>42644</v>
      </c>
      <c r="E315" t="s">
        <v>43</v>
      </c>
      <c r="F315" t="s">
        <v>1648</v>
      </c>
      <c r="G315" t="s">
        <v>1649</v>
      </c>
      <c r="H315" t="s">
        <v>22</v>
      </c>
      <c r="I315" t="s">
        <v>23</v>
      </c>
      <c r="J315" t="s">
        <v>978</v>
      </c>
      <c r="K315" t="s">
        <v>25</v>
      </c>
      <c r="L315">
        <v>40214</v>
      </c>
      <c r="M315" t="s">
        <v>26</v>
      </c>
      <c r="N315" t="s">
        <v>1650</v>
      </c>
      <c r="O315" t="s">
        <v>147</v>
      </c>
      <c r="P315" t="s">
        <v>148</v>
      </c>
      <c r="Q315" t="s">
        <v>1651</v>
      </c>
      <c r="R315">
        <v>8372</v>
      </c>
    </row>
    <row r="316" spans="1:18" x14ac:dyDescent="0.3">
      <c r="A316" t="s">
        <v>1652</v>
      </c>
      <c r="B316" s="1">
        <v>43101</v>
      </c>
      <c r="C316" s="1">
        <v>43106</v>
      </c>
      <c r="D316" s="1">
        <v>43101</v>
      </c>
      <c r="E316" t="s">
        <v>43</v>
      </c>
      <c r="F316" t="s">
        <v>1653</v>
      </c>
      <c r="G316" t="s">
        <v>1654</v>
      </c>
      <c r="H316" t="s">
        <v>22</v>
      </c>
      <c r="I316" t="s">
        <v>23</v>
      </c>
      <c r="J316" t="s">
        <v>1655</v>
      </c>
      <c r="K316" t="s">
        <v>377</v>
      </c>
      <c r="L316">
        <v>44052</v>
      </c>
      <c r="M316" t="s">
        <v>117</v>
      </c>
      <c r="N316" t="s">
        <v>1656</v>
      </c>
      <c r="O316" t="s">
        <v>28</v>
      </c>
      <c r="P316" t="s">
        <v>55</v>
      </c>
      <c r="Q316" t="s">
        <v>1657</v>
      </c>
      <c r="R316">
        <v>48896</v>
      </c>
    </row>
    <row r="317" spans="1:18" x14ac:dyDescent="0.3">
      <c r="A317" t="s">
        <v>1658</v>
      </c>
      <c r="B317" s="1">
        <v>42042</v>
      </c>
      <c r="C317" s="1">
        <v>42047</v>
      </c>
      <c r="D317" s="1">
        <v>42036</v>
      </c>
      <c r="E317" t="s">
        <v>43</v>
      </c>
      <c r="F317" t="s">
        <v>1659</v>
      </c>
      <c r="G317" t="s">
        <v>1660</v>
      </c>
      <c r="H317" t="s">
        <v>34</v>
      </c>
      <c r="I317" t="s">
        <v>23</v>
      </c>
      <c r="J317" t="s">
        <v>1661</v>
      </c>
      <c r="K317" t="s">
        <v>701</v>
      </c>
      <c r="L317">
        <v>7036</v>
      </c>
      <c r="M317" t="s">
        <v>117</v>
      </c>
      <c r="N317" t="s">
        <v>1662</v>
      </c>
      <c r="O317" t="s">
        <v>147</v>
      </c>
      <c r="P317" t="s">
        <v>180</v>
      </c>
      <c r="Q317" t="s">
        <v>1663</v>
      </c>
      <c r="R317">
        <v>11536</v>
      </c>
    </row>
    <row r="318" spans="1:18" x14ac:dyDescent="0.3">
      <c r="A318" t="s">
        <v>1664</v>
      </c>
      <c r="B318" s="1">
        <v>42883</v>
      </c>
      <c r="C318" s="1">
        <v>42890</v>
      </c>
      <c r="D318" s="1">
        <v>42856</v>
      </c>
      <c r="E318" t="s">
        <v>43</v>
      </c>
      <c r="F318" t="s">
        <v>632</v>
      </c>
      <c r="G318" t="s">
        <v>633</v>
      </c>
      <c r="H318" t="s">
        <v>22</v>
      </c>
      <c r="I318" t="s">
        <v>23</v>
      </c>
      <c r="J318" t="s">
        <v>248</v>
      </c>
      <c r="K318" t="s">
        <v>984</v>
      </c>
      <c r="L318">
        <v>39212</v>
      </c>
      <c r="M318" t="s">
        <v>26</v>
      </c>
      <c r="N318" t="s">
        <v>772</v>
      </c>
      <c r="O318" t="s">
        <v>39</v>
      </c>
      <c r="P318" t="s">
        <v>103</v>
      </c>
      <c r="Q318" t="s">
        <v>773</v>
      </c>
      <c r="R318">
        <v>18588</v>
      </c>
    </row>
    <row r="319" spans="1:18" x14ac:dyDescent="0.3">
      <c r="A319" t="s">
        <v>1665</v>
      </c>
      <c r="B319" s="1">
        <v>42785</v>
      </c>
      <c r="C319" s="1">
        <v>42790</v>
      </c>
      <c r="D319" s="1">
        <v>42767</v>
      </c>
      <c r="E319" t="s">
        <v>43</v>
      </c>
      <c r="F319" t="s">
        <v>1221</v>
      </c>
      <c r="G319" t="s">
        <v>1222</v>
      </c>
      <c r="H319" t="s">
        <v>22</v>
      </c>
      <c r="I319" t="s">
        <v>23</v>
      </c>
      <c r="J319" t="s">
        <v>206</v>
      </c>
      <c r="K319" t="s">
        <v>207</v>
      </c>
      <c r="L319">
        <v>10035</v>
      </c>
      <c r="M319" t="s">
        <v>117</v>
      </c>
      <c r="N319" t="s">
        <v>1583</v>
      </c>
      <c r="O319" t="s">
        <v>28</v>
      </c>
      <c r="P319" t="s">
        <v>55</v>
      </c>
      <c r="Q319" t="s">
        <v>1584</v>
      </c>
      <c r="R319">
        <v>4446</v>
      </c>
    </row>
    <row r="320" spans="1:18" x14ac:dyDescent="0.3">
      <c r="A320" t="s">
        <v>1666</v>
      </c>
      <c r="B320" s="1">
        <v>43200</v>
      </c>
      <c r="C320" s="1">
        <v>43205</v>
      </c>
      <c r="D320" s="1">
        <v>43191</v>
      </c>
      <c r="E320" t="s">
        <v>43</v>
      </c>
      <c r="F320" t="s">
        <v>1667</v>
      </c>
      <c r="G320" t="s">
        <v>1668</v>
      </c>
      <c r="H320" t="s">
        <v>76</v>
      </c>
      <c r="I320" t="s">
        <v>23</v>
      </c>
      <c r="J320" t="s">
        <v>1669</v>
      </c>
      <c r="K320" t="s">
        <v>701</v>
      </c>
      <c r="L320">
        <v>8901</v>
      </c>
      <c r="M320" t="s">
        <v>117</v>
      </c>
      <c r="N320" t="s">
        <v>664</v>
      </c>
      <c r="O320" t="s">
        <v>39</v>
      </c>
      <c r="P320" t="s">
        <v>63</v>
      </c>
      <c r="Q320" t="s">
        <v>665</v>
      </c>
      <c r="R320">
        <v>761</v>
      </c>
    </row>
    <row r="321" spans="1:18" x14ac:dyDescent="0.3">
      <c r="A321" t="s">
        <v>1670</v>
      </c>
      <c r="B321" s="1">
        <v>42740</v>
      </c>
      <c r="C321" s="1">
        <v>42742</v>
      </c>
      <c r="D321" s="1">
        <v>42736</v>
      </c>
      <c r="E321" t="s">
        <v>19</v>
      </c>
      <c r="F321" t="s">
        <v>1534</v>
      </c>
      <c r="G321" t="s">
        <v>1535</v>
      </c>
      <c r="H321" t="s">
        <v>34</v>
      </c>
      <c r="I321" t="s">
        <v>23</v>
      </c>
      <c r="J321" t="s">
        <v>1007</v>
      </c>
      <c r="K321" t="s">
        <v>47</v>
      </c>
      <c r="L321">
        <v>32216</v>
      </c>
      <c r="M321" t="s">
        <v>26</v>
      </c>
      <c r="N321" t="s">
        <v>1671</v>
      </c>
      <c r="O321" t="s">
        <v>147</v>
      </c>
      <c r="P321" t="s">
        <v>180</v>
      </c>
      <c r="Q321" t="s">
        <v>1672</v>
      </c>
      <c r="R321">
        <v>191472</v>
      </c>
    </row>
    <row r="322" spans="1:18" x14ac:dyDescent="0.3">
      <c r="A322" t="s">
        <v>1673</v>
      </c>
      <c r="B322" s="1">
        <v>42014</v>
      </c>
      <c r="C322" s="1">
        <v>42019</v>
      </c>
      <c r="D322" s="1">
        <v>42005</v>
      </c>
      <c r="E322" t="s">
        <v>43</v>
      </c>
      <c r="F322" t="s">
        <v>1674</v>
      </c>
      <c r="G322" t="s">
        <v>1675</v>
      </c>
      <c r="H322" t="s">
        <v>34</v>
      </c>
      <c r="I322" t="s">
        <v>23</v>
      </c>
      <c r="J322" t="s">
        <v>238</v>
      </c>
      <c r="K322" t="s">
        <v>239</v>
      </c>
      <c r="L322">
        <v>22153</v>
      </c>
      <c r="M322" t="s">
        <v>26</v>
      </c>
      <c r="N322" t="s">
        <v>1676</v>
      </c>
      <c r="O322" t="s">
        <v>39</v>
      </c>
      <c r="P322" t="s">
        <v>40</v>
      </c>
      <c r="Q322" t="s">
        <v>1677</v>
      </c>
      <c r="R322">
        <v>289</v>
      </c>
    </row>
    <row r="323" spans="1:18" x14ac:dyDescent="0.3">
      <c r="A323" t="s">
        <v>1678</v>
      </c>
      <c r="B323" s="1">
        <v>43007</v>
      </c>
      <c r="C323" s="1">
        <v>43010</v>
      </c>
      <c r="D323" s="1">
        <v>42979</v>
      </c>
      <c r="E323" t="s">
        <v>142</v>
      </c>
      <c r="F323" t="s">
        <v>1679</v>
      </c>
      <c r="G323" t="s">
        <v>1680</v>
      </c>
      <c r="H323" t="s">
        <v>34</v>
      </c>
      <c r="I323" t="s">
        <v>23</v>
      </c>
      <c r="J323" t="s">
        <v>115</v>
      </c>
      <c r="K323" t="s">
        <v>116</v>
      </c>
      <c r="L323">
        <v>19140</v>
      </c>
      <c r="M323" t="s">
        <v>117</v>
      </c>
      <c r="N323" t="s">
        <v>1681</v>
      </c>
      <c r="O323" t="s">
        <v>39</v>
      </c>
      <c r="P323" t="s">
        <v>40</v>
      </c>
      <c r="Q323" t="s">
        <v>1682</v>
      </c>
      <c r="R323">
        <v>15936</v>
      </c>
    </row>
    <row r="324" spans="1:18" x14ac:dyDescent="0.3">
      <c r="A324" t="s">
        <v>1683</v>
      </c>
      <c r="B324" s="1">
        <v>42100</v>
      </c>
      <c r="C324" s="1">
        <v>42104</v>
      </c>
      <c r="D324" s="1">
        <v>42095</v>
      </c>
      <c r="E324" t="s">
        <v>43</v>
      </c>
      <c r="F324" t="s">
        <v>1684</v>
      </c>
      <c r="G324" t="s">
        <v>1685</v>
      </c>
      <c r="H324" t="s">
        <v>34</v>
      </c>
      <c r="I324" t="s">
        <v>23</v>
      </c>
      <c r="J324" t="s">
        <v>1567</v>
      </c>
      <c r="K324" t="s">
        <v>116</v>
      </c>
      <c r="L324">
        <v>17602</v>
      </c>
      <c r="M324" t="s">
        <v>117</v>
      </c>
      <c r="N324" t="s">
        <v>1686</v>
      </c>
      <c r="O324" t="s">
        <v>39</v>
      </c>
      <c r="P324" t="s">
        <v>71</v>
      </c>
      <c r="Q324" t="s">
        <v>1687</v>
      </c>
      <c r="R324">
        <v>4491</v>
      </c>
    </row>
    <row r="325" spans="1:18" x14ac:dyDescent="0.3">
      <c r="A325" t="s">
        <v>1688</v>
      </c>
      <c r="B325" s="1">
        <v>42981</v>
      </c>
      <c r="C325" s="1">
        <v>42983</v>
      </c>
      <c r="D325" s="1">
        <v>42979</v>
      </c>
      <c r="E325" t="s">
        <v>142</v>
      </c>
      <c r="F325" t="s">
        <v>1689</v>
      </c>
      <c r="G325" t="s">
        <v>1690</v>
      </c>
      <c r="H325" t="s">
        <v>76</v>
      </c>
      <c r="I325" t="s">
        <v>23</v>
      </c>
      <c r="J325" t="s">
        <v>115</v>
      </c>
      <c r="K325" t="s">
        <v>116</v>
      </c>
      <c r="L325">
        <v>19143</v>
      </c>
      <c r="M325" t="s">
        <v>117</v>
      </c>
      <c r="N325" t="s">
        <v>1691</v>
      </c>
      <c r="O325" t="s">
        <v>39</v>
      </c>
      <c r="P325" t="s">
        <v>71</v>
      </c>
      <c r="Q325" t="s">
        <v>1692</v>
      </c>
      <c r="R325">
        <v>114147</v>
      </c>
    </row>
    <row r="326" spans="1:18" x14ac:dyDescent="0.3">
      <c r="A326" t="s">
        <v>1693</v>
      </c>
      <c r="B326" s="1">
        <v>42662</v>
      </c>
      <c r="C326" s="1">
        <v>42663</v>
      </c>
      <c r="D326" s="1">
        <v>42644</v>
      </c>
      <c r="E326" t="s">
        <v>142</v>
      </c>
      <c r="F326" t="s">
        <v>131</v>
      </c>
      <c r="G326" t="s">
        <v>132</v>
      </c>
      <c r="H326" t="s">
        <v>22</v>
      </c>
      <c r="I326" t="s">
        <v>23</v>
      </c>
      <c r="J326" t="s">
        <v>60</v>
      </c>
      <c r="K326" t="s">
        <v>1694</v>
      </c>
      <c r="L326">
        <v>3301</v>
      </c>
      <c r="M326" t="s">
        <v>117</v>
      </c>
      <c r="N326" t="s">
        <v>1695</v>
      </c>
      <c r="O326" t="s">
        <v>39</v>
      </c>
      <c r="P326" t="s">
        <v>63</v>
      </c>
      <c r="Q326" t="s">
        <v>1696</v>
      </c>
      <c r="R326">
        <v>3444</v>
      </c>
    </row>
    <row r="327" spans="1:18" x14ac:dyDescent="0.3">
      <c r="A327" t="s">
        <v>1697</v>
      </c>
      <c r="B327" s="1">
        <v>42348</v>
      </c>
      <c r="C327" s="1">
        <v>42353</v>
      </c>
      <c r="D327" s="1">
        <v>42339</v>
      </c>
      <c r="E327" t="s">
        <v>43</v>
      </c>
      <c r="F327" t="s">
        <v>1698</v>
      </c>
      <c r="G327" t="s">
        <v>1699</v>
      </c>
      <c r="H327" t="s">
        <v>22</v>
      </c>
      <c r="I327" t="s">
        <v>23</v>
      </c>
      <c r="J327" t="s">
        <v>206</v>
      </c>
      <c r="K327" t="s">
        <v>207</v>
      </c>
      <c r="L327">
        <v>10009</v>
      </c>
      <c r="M327" t="s">
        <v>117</v>
      </c>
      <c r="N327" t="s">
        <v>1700</v>
      </c>
      <c r="O327" t="s">
        <v>39</v>
      </c>
      <c r="P327" t="s">
        <v>63</v>
      </c>
      <c r="Q327" t="s">
        <v>1701</v>
      </c>
      <c r="R327">
        <v>1136</v>
      </c>
    </row>
    <row r="328" spans="1:18" x14ac:dyDescent="0.3">
      <c r="A328" t="s">
        <v>1702</v>
      </c>
      <c r="B328" s="1">
        <v>43337</v>
      </c>
      <c r="C328" s="1">
        <v>43341</v>
      </c>
      <c r="D328" s="1">
        <v>43313</v>
      </c>
      <c r="E328" t="s">
        <v>43</v>
      </c>
      <c r="F328" t="s">
        <v>1653</v>
      </c>
      <c r="G328" t="s">
        <v>1654</v>
      </c>
      <c r="H328" t="s">
        <v>22</v>
      </c>
      <c r="I328" t="s">
        <v>23</v>
      </c>
      <c r="J328" t="s">
        <v>352</v>
      </c>
      <c r="K328" t="s">
        <v>61</v>
      </c>
      <c r="L328">
        <v>28205</v>
      </c>
      <c r="M328" t="s">
        <v>26</v>
      </c>
      <c r="N328" t="s">
        <v>1703</v>
      </c>
      <c r="O328" t="s">
        <v>39</v>
      </c>
      <c r="P328" t="s">
        <v>63</v>
      </c>
      <c r="Q328" t="s">
        <v>1704</v>
      </c>
      <c r="R328">
        <v>19216</v>
      </c>
    </row>
    <row r="329" spans="1:18" x14ac:dyDescent="0.3">
      <c r="A329" t="s">
        <v>1705</v>
      </c>
      <c r="B329" s="1">
        <v>42752</v>
      </c>
      <c r="C329" s="1">
        <v>42756</v>
      </c>
      <c r="D329" s="1">
        <v>42736</v>
      </c>
      <c r="E329" t="s">
        <v>43</v>
      </c>
      <c r="F329" t="s">
        <v>1353</v>
      </c>
      <c r="G329" t="s">
        <v>1354</v>
      </c>
      <c r="H329" t="s">
        <v>76</v>
      </c>
      <c r="I329" t="s">
        <v>23</v>
      </c>
      <c r="J329" t="s">
        <v>60</v>
      </c>
      <c r="K329" t="s">
        <v>1694</v>
      </c>
      <c r="L329">
        <v>3301</v>
      </c>
      <c r="M329" t="s">
        <v>117</v>
      </c>
      <c r="N329" t="s">
        <v>1706</v>
      </c>
      <c r="O329" t="s">
        <v>28</v>
      </c>
      <c r="P329" t="s">
        <v>55</v>
      </c>
      <c r="Q329" t="s">
        <v>1707</v>
      </c>
      <c r="R329">
        <v>32259</v>
      </c>
    </row>
    <row r="330" spans="1:18" x14ac:dyDescent="0.3">
      <c r="A330" t="s">
        <v>1708</v>
      </c>
      <c r="B330" s="1">
        <v>42264</v>
      </c>
      <c r="C330" s="1">
        <v>42268</v>
      </c>
      <c r="D330" s="1">
        <v>42248</v>
      </c>
      <c r="E330" t="s">
        <v>43</v>
      </c>
      <c r="F330" t="s">
        <v>1709</v>
      </c>
      <c r="G330" t="s">
        <v>1710</v>
      </c>
      <c r="H330" t="s">
        <v>76</v>
      </c>
      <c r="I330" t="s">
        <v>23</v>
      </c>
      <c r="J330" t="s">
        <v>115</v>
      </c>
      <c r="K330" t="s">
        <v>116</v>
      </c>
      <c r="L330">
        <v>19120</v>
      </c>
      <c r="M330" t="s">
        <v>117</v>
      </c>
      <c r="N330" t="s">
        <v>1711</v>
      </c>
      <c r="O330" t="s">
        <v>39</v>
      </c>
      <c r="P330" t="s">
        <v>71</v>
      </c>
      <c r="Q330" t="s">
        <v>1712</v>
      </c>
      <c r="R330">
        <v>5892</v>
      </c>
    </row>
    <row r="331" spans="1:18" x14ac:dyDescent="0.3">
      <c r="A331" t="s">
        <v>1713</v>
      </c>
      <c r="B331" s="1">
        <v>43434</v>
      </c>
      <c r="C331" s="1">
        <v>43436</v>
      </c>
      <c r="D331" s="1">
        <v>43405</v>
      </c>
      <c r="E331" t="s">
        <v>19</v>
      </c>
      <c r="F331" t="s">
        <v>74</v>
      </c>
      <c r="G331" t="s">
        <v>75</v>
      </c>
      <c r="H331" t="s">
        <v>76</v>
      </c>
      <c r="I331" t="s">
        <v>23</v>
      </c>
      <c r="J331" t="s">
        <v>206</v>
      </c>
      <c r="K331" t="s">
        <v>207</v>
      </c>
      <c r="L331">
        <v>10024</v>
      </c>
      <c r="M331" t="s">
        <v>117</v>
      </c>
      <c r="N331" t="s">
        <v>1714</v>
      </c>
      <c r="O331" t="s">
        <v>39</v>
      </c>
      <c r="P331" t="s">
        <v>71</v>
      </c>
      <c r="Q331" t="s">
        <v>1715</v>
      </c>
      <c r="R331">
        <v>68472</v>
      </c>
    </row>
    <row r="332" spans="1:18" x14ac:dyDescent="0.3">
      <c r="A332" t="s">
        <v>1716</v>
      </c>
      <c r="B332" s="1">
        <v>42652</v>
      </c>
      <c r="C332" s="1">
        <v>42656</v>
      </c>
      <c r="D332" s="1">
        <v>42644</v>
      </c>
      <c r="E332" t="s">
        <v>43</v>
      </c>
      <c r="F332" t="s">
        <v>381</v>
      </c>
      <c r="G332" t="s">
        <v>382</v>
      </c>
      <c r="H332" t="s">
        <v>22</v>
      </c>
      <c r="I332" t="s">
        <v>23</v>
      </c>
      <c r="J332" t="s">
        <v>238</v>
      </c>
      <c r="K332" t="s">
        <v>239</v>
      </c>
      <c r="L332">
        <v>22153</v>
      </c>
      <c r="M332" t="s">
        <v>26</v>
      </c>
      <c r="N332" t="s">
        <v>1717</v>
      </c>
      <c r="O332" t="s">
        <v>39</v>
      </c>
      <c r="P332" t="s">
        <v>89</v>
      </c>
      <c r="Q332" t="s">
        <v>1718</v>
      </c>
      <c r="R332">
        <v>3084</v>
      </c>
    </row>
    <row r="333" spans="1:18" x14ac:dyDescent="0.3">
      <c r="A333" t="s">
        <v>1719</v>
      </c>
      <c r="B333" s="1">
        <v>43457</v>
      </c>
      <c r="C333" s="1">
        <v>43457</v>
      </c>
      <c r="D333" s="1">
        <v>43435</v>
      </c>
      <c r="E333" t="s">
        <v>857</v>
      </c>
      <c r="F333" t="s">
        <v>338</v>
      </c>
      <c r="G333" t="s">
        <v>339</v>
      </c>
      <c r="H333" t="s">
        <v>22</v>
      </c>
      <c r="I333" t="s">
        <v>23</v>
      </c>
      <c r="J333" t="s">
        <v>101</v>
      </c>
      <c r="K333" t="s">
        <v>36</v>
      </c>
      <c r="L333">
        <v>94109</v>
      </c>
      <c r="M333" t="s">
        <v>37</v>
      </c>
      <c r="N333" t="s">
        <v>1720</v>
      </c>
      <c r="O333" t="s">
        <v>39</v>
      </c>
      <c r="P333" t="s">
        <v>103</v>
      </c>
      <c r="Q333" t="s">
        <v>1721</v>
      </c>
      <c r="R333">
        <v>1348</v>
      </c>
    </row>
    <row r="334" spans="1:18" x14ac:dyDescent="0.3">
      <c r="A334" t="s">
        <v>1722</v>
      </c>
      <c r="B334" s="1">
        <v>43030</v>
      </c>
      <c r="C334" s="1">
        <v>43032</v>
      </c>
      <c r="D334" s="1">
        <v>43009</v>
      </c>
      <c r="E334" t="s">
        <v>142</v>
      </c>
      <c r="F334" t="s">
        <v>1723</v>
      </c>
      <c r="G334" t="s">
        <v>1724</v>
      </c>
      <c r="H334" t="s">
        <v>76</v>
      </c>
      <c r="I334" t="s">
        <v>23</v>
      </c>
      <c r="J334" t="s">
        <v>628</v>
      </c>
      <c r="K334" t="s">
        <v>186</v>
      </c>
      <c r="L334">
        <v>48227</v>
      </c>
      <c r="M334" t="s">
        <v>79</v>
      </c>
      <c r="N334" t="s">
        <v>1725</v>
      </c>
      <c r="O334" t="s">
        <v>28</v>
      </c>
      <c r="P334" t="s">
        <v>55</v>
      </c>
      <c r="Q334" t="s">
        <v>1726</v>
      </c>
      <c r="R334">
        <v>314</v>
      </c>
    </row>
    <row r="335" spans="1:18" x14ac:dyDescent="0.3">
      <c r="A335" t="s">
        <v>1727</v>
      </c>
      <c r="B335" s="1">
        <v>42123</v>
      </c>
      <c r="C335" s="1">
        <v>42128</v>
      </c>
      <c r="D335" s="1">
        <v>42095</v>
      </c>
      <c r="E335" t="s">
        <v>43</v>
      </c>
      <c r="F335" t="s">
        <v>1728</v>
      </c>
      <c r="G335" t="s">
        <v>1729</v>
      </c>
      <c r="H335" t="s">
        <v>22</v>
      </c>
      <c r="I335" t="s">
        <v>23</v>
      </c>
      <c r="J335" t="s">
        <v>290</v>
      </c>
      <c r="K335" t="s">
        <v>207</v>
      </c>
      <c r="L335">
        <v>14609</v>
      </c>
      <c r="M335" t="s">
        <v>117</v>
      </c>
      <c r="N335" t="s">
        <v>1730</v>
      </c>
      <c r="O335" t="s">
        <v>28</v>
      </c>
      <c r="P335" t="s">
        <v>55</v>
      </c>
      <c r="Q335" t="s">
        <v>1731</v>
      </c>
      <c r="R335">
        <v>1746</v>
      </c>
    </row>
    <row r="336" spans="1:18" x14ac:dyDescent="0.3">
      <c r="A336" t="s">
        <v>1732</v>
      </c>
      <c r="B336" s="1">
        <v>42485</v>
      </c>
      <c r="C336" s="1">
        <v>42488</v>
      </c>
      <c r="D336" s="1">
        <v>42461</v>
      </c>
      <c r="E336" t="s">
        <v>19</v>
      </c>
      <c r="F336" t="s">
        <v>1733</v>
      </c>
      <c r="G336" t="s">
        <v>1734</v>
      </c>
      <c r="H336" t="s">
        <v>34</v>
      </c>
      <c r="I336" t="s">
        <v>23</v>
      </c>
      <c r="J336" t="s">
        <v>35</v>
      </c>
      <c r="K336" t="s">
        <v>36</v>
      </c>
      <c r="L336">
        <v>90045</v>
      </c>
      <c r="M336" t="s">
        <v>37</v>
      </c>
      <c r="N336" t="s">
        <v>1735</v>
      </c>
      <c r="O336" t="s">
        <v>39</v>
      </c>
      <c r="P336" t="s">
        <v>71</v>
      </c>
      <c r="Q336" t="s">
        <v>1736</v>
      </c>
      <c r="R336">
        <v>13944</v>
      </c>
    </row>
    <row r="337" spans="1:18" x14ac:dyDescent="0.3">
      <c r="A337" t="s">
        <v>1737</v>
      </c>
      <c r="B337" s="1">
        <v>43277</v>
      </c>
      <c r="C337" s="1">
        <v>43283</v>
      </c>
      <c r="D337" s="1">
        <v>43252</v>
      </c>
      <c r="E337" t="s">
        <v>43</v>
      </c>
      <c r="F337" t="s">
        <v>1235</v>
      </c>
      <c r="G337" t="s">
        <v>1236</v>
      </c>
      <c r="H337" t="s">
        <v>22</v>
      </c>
      <c r="I337" t="s">
        <v>23</v>
      </c>
      <c r="J337" t="s">
        <v>663</v>
      </c>
      <c r="K337" t="s">
        <v>36</v>
      </c>
      <c r="L337">
        <v>92105</v>
      </c>
      <c r="M337" t="s">
        <v>37</v>
      </c>
      <c r="N337" t="s">
        <v>1738</v>
      </c>
      <c r="O337" t="s">
        <v>39</v>
      </c>
      <c r="P337" t="s">
        <v>89</v>
      </c>
      <c r="Q337" t="s">
        <v>1739</v>
      </c>
      <c r="R337">
        <v>8376</v>
      </c>
    </row>
    <row r="338" spans="1:18" x14ac:dyDescent="0.3">
      <c r="A338" t="s">
        <v>1740</v>
      </c>
      <c r="B338" s="1">
        <v>43387</v>
      </c>
      <c r="C338" s="1">
        <v>43392</v>
      </c>
      <c r="D338" s="1">
        <v>43374</v>
      </c>
      <c r="E338" t="s">
        <v>43</v>
      </c>
      <c r="F338" t="s">
        <v>1741</v>
      </c>
      <c r="G338" t="s">
        <v>1742</v>
      </c>
      <c r="H338" t="s">
        <v>76</v>
      </c>
      <c r="I338" t="s">
        <v>23</v>
      </c>
      <c r="J338" t="s">
        <v>283</v>
      </c>
      <c r="K338" t="s">
        <v>1743</v>
      </c>
      <c r="L338">
        <v>21044</v>
      </c>
      <c r="M338" t="s">
        <v>117</v>
      </c>
      <c r="N338" t="s">
        <v>1744</v>
      </c>
      <c r="O338" t="s">
        <v>39</v>
      </c>
      <c r="P338" t="s">
        <v>71</v>
      </c>
      <c r="Q338" t="s">
        <v>1745</v>
      </c>
      <c r="R338">
        <v>3766</v>
      </c>
    </row>
    <row r="339" spans="1:18" x14ac:dyDescent="0.3">
      <c r="A339" t="s">
        <v>1746</v>
      </c>
      <c r="B339" s="1">
        <v>42347</v>
      </c>
      <c r="C339" s="1">
        <v>42354</v>
      </c>
      <c r="D339" s="1">
        <v>42339</v>
      </c>
      <c r="E339" t="s">
        <v>43</v>
      </c>
      <c r="F339" t="s">
        <v>1659</v>
      </c>
      <c r="G339" t="s">
        <v>1660</v>
      </c>
      <c r="H339" t="s">
        <v>34</v>
      </c>
      <c r="I339" t="s">
        <v>23</v>
      </c>
      <c r="J339" t="s">
        <v>101</v>
      </c>
      <c r="K339" t="s">
        <v>36</v>
      </c>
      <c r="L339">
        <v>94122</v>
      </c>
      <c r="M339" t="s">
        <v>37</v>
      </c>
      <c r="N339" t="s">
        <v>1747</v>
      </c>
      <c r="O339" t="s">
        <v>39</v>
      </c>
      <c r="P339" t="s">
        <v>63</v>
      </c>
      <c r="Q339" t="s">
        <v>1748</v>
      </c>
      <c r="R339">
        <v>3468</v>
      </c>
    </row>
    <row r="340" spans="1:18" x14ac:dyDescent="0.3">
      <c r="A340" t="s">
        <v>1749</v>
      </c>
      <c r="B340" s="1">
        <v>43049</v>
      </c>
      <c r="C340" s="1">
        <v>43051</v>
      </c>
      <c r="D340" s="1">
        <v>43040</v>
      </c>
      <c r="E340" t="s">
        <v>142</v>
      </c>
      <c r="F340" t="s">
        <v>1750</v>
      </c>
      <c r="G340" t="s">
        <v>1751</v>
      </c>
      <c r="H340" t="s">
        <v>34</v>
      </c>
      <c r="I340" t="s">
        <v>23</v>
      </c>
      <c r="J340" t="s">
        <v>101</v>
      </c>
      <c r="K340" t="s">
        <v>36</v>
      </c>
      <c r="L340">
        <v>94122</v>
      </c>
      <c r="M340" t="s">
        <v>37</v>
      </c>
      <c r="N340" t="s">
        <v>1752</v>
      </c>
      <c r="O340" t="s">
        <v>39</v>
      </c>
      <c r="P340" t="s">
        <v>89</v>
      </c>
      <c r="Q340" t="s">
        <v>1753</v>
      </c>
      <c r="R340">
        <v>15582</v>
      </c>
    </row>
    <row r="341" spans="1:18" x14ac:dyDescent="0.3">
      <c r="A341" t="s">
        <v>1754</v>
      </c>
      <c r="B341" s="1">
        <v>43011</v>
      </c>
      <c r="C341" s="1">
        <v>43014</v>
      </c>
      <c r="D341" s="1">
        <v>43009</v>
      </c>
      <c r="E341" t="s">
        <v>19</v>
      </c>
      <c r="F341" t="s">
        <v>1755</v>
      </c>
      <c r="G341" t="s">
        <v>1756</v>
      </c>
      <c r="H341" t="s">
        <v>22</v>
      </c>
      <c r="I341" t="s">
        <v>23</v>
      </c>
      <c r="J341" t="s">
        <v>138</v>
      </c>
      <c r="K341" t="s">
        <v>78</v>
      </c>
      <c r="L341">
        <v>77095</v>
      </c>
      <c r="M341" t="s">
        <v>79</v>
      </c>
      <c r="N341" t="s">
        <v>1757</v>
      </c>
      <c r="O341" t="s">
        <v>39</v>
      </c>
      <c r="P341" t="s">
        <v>154</v>
      </c>
      <c r="Q341" t="s">
        <v>493</v>
      </c>
      <c r="R341">
        <v>15648</v>
      </c>
    </row>
    <row r="342" spans="1:18" x14ac:dyDescent="0.3">
      <c r="A342" t="s">
        <v>1758</v>
      </c>
      <c r="B342" s="1">
        <v>42256</v>
      </c>
      <c r="C342" s="1">
        <v>42262</v>
      </c>
      <c r="D342" s="1">
        <v>42248</v>
      </c>
      <c r="E342" t="s">
        <v>43</v>
      </c>
      <c r="F342" t="s">
        <v>1759</v>
      </c>
      <c r="G342" t="s">
        <v>1760</v>
      </c>
      <c r="H342" t="s">
        <v>22</v>
      </c>
      <c r="I342" t="s">
        <v>23</v>
      </c>
      <c r="J342" t="s">
        <v>628</v>
      </c>
      <c r="K342" t="s">
        <v>186</v>
      </c>
      <c r="L342">
        <v>48227</v>
      </c>
      <c r="M342" t="s">
        <v>79</v>
      </c>
      <c r="N342" t="s">
        <v>1094</v>
      </c>
      <c r="O342" t="s">
        <v>39</v>
      </c>
      <c r="P342" t="s">
        <v>40</v>
      </c>
      <c r="Q342" t="s">
        <v>1095</v>
      </c>
      <c r="R342">
        <v>1036</v>
      </c>
    </row>
    <row r="343" spans="1:18" x14ac:dyDescent="0.3">
      <c r="A343" t="s">
        <v>1761</v>
      </c>
      <c r="B343" s="1">
        <v>43402</v>
      </c>
      <c r="C343" s="1">
        <v>43404</v>
      </c>
      <c r="D343" s="1">
        <v>43374</v>
      </c>
      <c r="E343" t="s">
        <v>19</v>
      </c>
      <c r="F343" t="s">
        <v>1762</v>
      </c>
      <c r="G343" t="s">
        <v>1763</v>
      </c>
      <c r="H343" t="s">
        <v>34</v>
      </c>
      <c r="I343" t="s">
        <v>23</v>
      </c>
      <c r="J343" t="s">
        <v>1026</v>
      </c>
      <c r="K343" t="s">
        <v>207</v>
      </c>
      <c r="L343">
        <v>13021</v>
      </c>
      <c r="M343" t="s">
        <v>117</v>
      </c>
      <c r="N343" t="s">
        <v>1764</v>
      </c>
      <c r="O343" t="s">
        <v>39</v>
      </c>
      <c r="P343" t="s">
        <v>63</v>
      </c>
      <c r="Q343" t="s">
        <v>1765</v>
      </c>
      <c r="R343">
        <v>4696</v>
      </c>
    </row>
    <row r="344" spans="1:18" x14ac:dyDescent="0.3">
      <c r="A344" t="s">
        <v>1766</v>
      </c>
      <c r="B344" s="1">
        <v>42835</v>
      </c>
      <c r="C344" s="1">
        <v>42837</v>
      </c>
      <c r="D344" s="1">
        <v>42826</v>
      </c>
      <c r="E344" t="s">
        <v>142</v>
      </c>
      <c r="F344" t="s">
        <v>1767</v>
      </c>
      <c r="G344" t="s">
        <v>1768</v>
      </c>
      <c r="H344" t="s">
        <v>34</v>
      </c>
      <c r="I344" t="s">
        <v>23</v>
      </c>
      <c r="J344" t="s">
        <v>238</v>
      </c>
      <c r="K344" t="s">
        <v>377</v>
      </c>
      <c r="L344">
        <v>45503</v>
      </c>
      <c r="M344" t="s">
        <v>117</v>
      </c>
      <c r="N344" t="s">
        <v>1769</v>
      </c>
      <c r="O344" t="s">
        <v>39</v>
      </c>
      <c r="P344" t="s">
        <v>71</v>
      </c>
      <c r="Q344" t="s">
        <v>1770</v>
      </c>
      <c r="R344">
        <v>8904</v>
      </c>
    </row>
    <row r="345" spans="1:18" x14ac:dyDescent="0.3">
      <c r="A345" t="s">
        <v>1771</v>
      </c>
      <c r="B345" s="1">
        <v>43415</v>
      </c>
      <c r="C345" s="1">
        <v>43417</v>
      </c>
      <c r="D345" s="1">
        <v>43405</v>
      </c>
      <c r="E345" t="s">
        <v>142</v>
      </c>
      <c r="F345" t="s">
        <v>826</v>
      </c>
      <c r="G345" t="s">
        <v>827</v>
      </c>
      <c r="H345" t="s">
        <v>22</v>
      </c>
      <c r="I345" t="s">
        <v>23</v>
      </c>
      <c r="J345" t="s">
        <v>1772</v>
      </c>
      <c r="K345" t="s">
        <v>78</v>
      </c>
      <c r="L345">
        <v>75043</v>
      </c>
      <c r="M345" t="s">
        <v>79</v>
      </c>
      <c r="N345" t="s">
        <v>1773</v>
      </c>
      <c r="O345" t="s">
        <v>39</v>
      </c>
      <c r="P345" t="s">
        <v>40</v>
      </c>
      <c r="Q345" t="s">
        <v>1774</v>
      </c>
      <c r="R345">
        <v>1044</v>
      </c>
    </row>
    <row r="346" spans="1:18" x14ac:dyDescent="0.3">
      <c r="A346" t="s">
        <v>1775</v>
      </c>
      <c r="B346" s="1">
        <v>43431</v>
      </c>
      <c r="C346" s="1">
        <v>43433</v>
      </c>
      <c r="D346" s="1">
        <v>43405</v>
      </c>
      <c r="E346" t="s">
        <v>142</v>
      </c>
      <c r="F346" t="s">
        <v>1643</v>
      </c>
      <c r="G346" t="s">
        <v>1644</v>
      </c>
      <c r="H346" t="s">
        <v>34</v>
      </c>
      <c r="I346" t="s">
        <v>23</v>
      </c>
      <c r="J346" t="s">
        <v>1614</v>
      </c>
      <c r="K346" t="s">
        <v>87</v>
      </c>
      <c r="L346">
        <v>53209</v>
      </c>
      <c r="M346" t="s">
        <v>79</v>
      </c>
      <c r="N346" t="s">
        <v>1776</v>
      </c>
      <c r="O346" t="s">
        <v>28</v>
      </c>
      <c r="P346" t="s">
        <v>55</v>
      </c>
      <c r="Q346" t="s">
        <v>1777</v>
      </c>
      <c r="R346">
        <v>4694</v>
      </c>
    </row>
    <row r="347" spans="1:18" x14ac:dyDescent="0.3">
      <c r="A347" t="s">
        <v>1778</v>
      </c>
      <c r="B347" s="1">
        <v>42170</v>
      </c>
      <c r="C347" s="1">
        <v>42176</v>
      </c>
      <c r="D347" s="1">
        <v>42156</v>
      </c>
      <c r="E347" t="s">
        <v>43</v>
      </c>
      <c r="F347" t="s">
        <v>1779</v>
      </c>
      <c r="G347" t="s">
        <v>1780</v>
      </c>
      <c r="H347" t="s">
        <v>34</v>
      </c>
      <c r="I347" t="s">
        <v>23</v>
      </c>
      <c r="J347" t="s">
        <v>502</v>
      </c>
      <c r="K347" t="s">
        <v>78</v>
      </c>
      <c r="L347">
        <v>78207</v>
      </c>
      <c r="M347" t="s">
        <v>79</v>
      </c>
      <c r="N347" t="s">
        <v>1781</v>
      </c>
      <c r="O347" t="s">
        <v>28</v>
      </c>
      <c r="P347" t="s">
        <v>49</v>
      </c>
      <c r="Q347" t="s">
        <v>1782</v>
      </c>
      <c r="R347">
        <v>99918</v>
      </c>
    </row>
    <row r="348" spans="1:18" x14ac:dyDescent="0.3">
      <c r="A348" t="s">
        <v>1783</v>
      </c>
      <c r="B348" s="1">
        <v>42799</v>
      </c>
      <c r="C348" s="1">
        <v>42805</v>
      </c>
      <c r="D348" s="1">
        <v>42795</v>
      </c>
      <c r="E348" t="s">
        <v>43</v>
      </c>
      <c r="F348" t="s">
        <v>1784</v>
      </c>
      <c r="G348" t="s">
        <v>1785</v>
      </c>
      <c r="H348" t="s">
        <v>34</v>
      </c>
      <c r="I348" t="s">
        <v>23</v>
      </c>
      <c r="J348" t="s">
        <v>590</v>
      </c>
      <c r="K348" t="s">
        <v>78</v>
      </c>
      <c r="L348">
        <v>75220</v>
      </c>
      <c r="M348" t="s">
        <v>79</v>
      </c>
      <c r="N348" t="s">
        <v>1564</v>
      </c>
      <c r="O348" t="s">
        <v>39</v>
      </c>
      <c r="P348" t="s">
        <v>154</v>
      </c>
      <c r="Q348" t="s">
        <v>1565</v>
      </c>
      <c r="R348">
        <v>149352</v>
      </c>
    </row>
    <row r="349" spans="1:18" x14ac:dyDescent="0.3">
      <c r="A349" t="s">
        <v>1786</v>
      </c>
      <c r="B349" s="1">
        <v>42471</v>
      </c>
      <c r="C349" s="1">
        <v>42475</v>
      </c>
      <c r="D349" s="1">
        <v>42461</v>
      </c>
      <c r="E349" t="s">
        <v>43</v>
      </c>
      <c r="F349" t="s">
        <v>1787</v>
      </c>
      <c r="G349" t="s">
        <v>1788</v>
      </c>
      <c r="H349" t="s">
        <v>22</v>
      </c>
      <c r="I349" t="s">
        <v>23</v>
      </c>
      <c r="J349" t="s">
        <v>206</v>
      </c>
      <c r="K349" t="s">
        <v>207</v>
      </c>
      <c r="L349">
        <v>10009</v>
      </c>
      <c r="M349" t="s">
        <v>117</v>
      </c>
      <c r="N349" t="s">
        <v>1789</v>
      </c>
      <c r="O349" t="s">
        <v>147</v>
      </c>
      <c r="P349" t="s">
        <v>180</v>
      </c>
      <c r="Q349" t="s">
        <v>1790</v>
      </c>
      <c r="R349">
        <v>8514</v>
      </c>
    </row>
    <row r="350" spans="1:18" x14ac:dyDescent="0.3">
      <c r="A350" t="s">
        <v>1791</v>
      </c>
      <c r="B350" s="1">
        <v>42648</v>
      </c>
      <c r="C350" s="1">
        <v>42652</v>
      </c>
      <c r="D350" s="1">
        <v>42644</v>
      </c>
      <c r="E350" t="s">
        <v>43</v>
      </c>
      <c r="F350" t="s">
        <v>1792</v>
      </c>
      <c r="G350" t="s">
        <v>1793</v>
      </c>
      <c r="H350" t="s">
        <v>76</v>
      </c>
      <c r="I350" t="s">
        <v>23</v>
      </c>
      <c r="J350" t="s">
        <v>238</v>
      </c>
      <c r="K350" t="s">
        <v>239</v>
      </c>
      <c r="L350">
        <v>22153</v>
      </c>
      <c r="M350" t="s">
        <v>26</v>
      </c>
      <c r="N350" t="s">
        <v>1794</v>
      </c>
      <c r="O350" t="s">
        <v>39</v>
      </c>
      <c r="P350" t="s">
        <v>103</v>
      </c>
      <c r="Q350" t="s">
        <v>1795</v>
      </c>
      <c r="R350">
        <v>462</v>
      </c>
    </row>
    <row r="351" spans="1:18" x14ac:dyDescent="0.3">
      <c r="A351" t="s">
        <v>1796</v>
      </c>
      <c r="B351" s="1">
        <v>43204</v>
      </c>
      <c r="C351" s="1">
        <v>43207</v>
      </c>
      <c r="D351" s="1">
        <v>43191</v>
      </c>
      <c r="E351" t="s">
        <v>142</v>
      </c>
      <c r="F351" t="s">
        <v>1420</v>
      </c>
      <c r="G351" t="s">
        <v>1421</v>
      </c>
      <c r="H351" t="s">
        <v>22</v>
      </c>
      <c r="I351" t="s">
        <v>23</v>
      </c>
      <c r="J351" t="s">
        <v>1797</v>
      </c>
      <c r="K351" t="s">
        <v>377</v>
      </c>
      <c r="L351">
        <v>43615</v>
      </c>
      <c r="M351" t="s">
        <v>117</v>
      </c>
      <c r="N351" t="s">
        <v>1232</v>
      </c>
      <c r="O351" t="s">
        <v>39</v>
      </c>
      <c r="P351" t="s">
        <v>103</v>
      </c>
      <c r="Q351" t="s">
        <v>1233</v>
      </c>
      <c r="R351">
        <v>14592</v>
      </c>
    </row>
    <row r="352" spans="1:18" x14ac:dyDescent="0.3">
      <c r="A352" t="s">
        <v>1798</v>
      </c>
      <c r="B352" s="1">
        <v>42717</v>
      </c>
      <c r="C352" s="1">
        <v>42721</v>
      </c>
      <c r="D352" s="1">
        <v>42705</v>
      </c>
      <c r="E352" t="s">
        <v>43</v>
      </c>
      <c r="F352" t="s">
        <v>1799</v>
      </c>
      <c r="G352" t="s">
        <v>1800</v>
      </c>
      <c r="H352" t="s">
        <v>34</v>
      </c>
      <c r="I352" t="s">
        <v>23</v>
      </c>
      <c r="J352" t="s">
        <v>1801</v>
      </c>
      <c r="K352" t="s">
        <v>36</v>
      </c>
      <c r="L352">
        <v>92503</v>
      </c>
      <c r="M352" t="s">
        <v>37</v>
      </c>
      <c r="N352" t="s">
        <v>1802</v>
      </c>
      <c r="O352" t="s">
        <v>39</v>
      </c>
      <c r="P352" t="s">
        <v>63</v>
      </c>
      <c r="Q352" t="s">
        <v>1803</v>
      </c>
      <c r="R352">
        <v>1296</v>
      </c>
    </row>
    <row r="353" spans="1:18" x14ac:dyDescent="0.3">
      <c r="A353" t="s">
        <v>1804</v>
      </c>
      <c r="B353" s="1">
        <v>42905</v>
      </c>
      <c r="C353" s="1">
        <v>42906</v>
      </c>
      <c r="D353" s="1">
        <v>42887</v>
      </c>
      <c r="E353" t="s">
        <v>142</v>
      </c>
      <c r="F353" t="s">
        <v>1805</v>
      </c>
      <c r="G353" t="s">
        <v>1806</v>
      </c>
      <c r="H353" t="s">
        <v>34</v>
      </c>
      <c r="I353" t="s">
        <v>23</v>
      </c>
      <c r="J353" t="s">
        <v>101</v>
      </c>
      <c r="K353" t="s">
        <v>36</v>
      </c>
      <c r="L353">
        <v>94110</v>
      </c>
      <c r="M353" t="s">
        <v>37</v>
      </c>
      <c r="N353" t="s">
        <v>1807</v>
      </c>
      <c r="O353" t="s">
        <v>39</v>
      </c>
      <c r="P353" t="s">
        <v>63</v>
      </c>
      <c r="Q353" t="s">
        <v>1808</v>
      </c>
      <c r="R353">
        <v>1712</v>
      </c>
    </row>
    <row r="354" spans="1:18" x14ac:dyDescent="0.3">
      <c r="A354" t="s">
        <v>1809</v>
      </c>
      <c r="B354" s="1">
        <v>42519</v>
      </c>
      <c r="C354" s="1">
        <v>42524</v>
      </c>
      <c r="D354" s="1">
        <v>42491</v>
      </c>
      <c r="E354" t="s">
        <v>43</v>
      </c>
      <c r="F354" t="s">
        <v>797</v>
      </c>
      <c r="G354" t="s">
        <v>798</v>
      </c>
      <c r="H354" t="s">
        <v>22</v>
      </c>
      <c r="I354" t="s">
        <v>23</v>
      </c>
      <c r="J354" t="s">
        <v>68</v>
      </c>
      <c r="K354" t="s">
        <v>69</v>
      </c>
      <c r="L354">
        <v>98105</v>
      </c>
      <c r="M354" t="s">
        <v>37</v>
      </c>
      <c r="N354" t="s">
        <v>1810</v>
      </c>
      <c r="O354" t="s">
        <v>39</v>
      </c>
      <c r="P354" t="s">
        <v>63</v>
      </c>
      <c r="Q354" t="s">
        <v>1811</v>
      </c>
      <c r="R354">
        <v>324</v>
      </c>
    </row>
    <row r="355" spans="1:18" x14ac:dyDescent="0.3">
      <c r="A355" t="s">
        <v>1812</v>
      </c>
      <c r="B355" s="1">
        <v>42577</v>
      </c>
      <c r="C355" s="1">
        <v>42579</v>
      </c>
      <c r="D355" s="1">
        <v>42552</v>
      </c>
      <c r="E355" t="s">
        <v>142</v>
      </c>
      <c r="F355" t="s">
        <v>1621</v>
      </c>
      <c r="G355" t="s">
        <v>1622</v>
      </c>
      <c r="H355" t="s">
        <v>22</v>
      </c>
      <c r="I355" t="s">
        <v>23</v>
      </c>
      <c r="J355" t="s">
        <v>1186</v>
      </c>
      <c r="K355" t="s">
        <v>232</v>
      </c>
      <c r="L355">
        <v>85204</v>
      </c>
      <c r="M355" t="s">
        <v>37</v>
      </c>
      <c r="N355" t="s">
        <v>1813</v>
      </c>
      <c r="O355" t="s">
        <v>28</v>
      </c>
      <c r="P355" t="s">
        <v>49</v>
      </c>
      <c r="Q355" t="s">
        <v>1814</v>
      </c>
      <c r="R355">
        <v>393165</v>
      </c>
    </row>
    <row r="356" spans="1:18" x14ac:dyDescent="0.3">
      <c r="A356" t="s">
        <v>1815</v>
      </c>
      <c r="B356" s="1">
        <v>43432</v>
      </c>
      <c r="C356" s="1">
        <v>43436</v>
      </c>
      <c r="D356" s="1">
        <v>43405</v>
      </c>
      <c r="E356" t="s">
        <v>43</v>
      </c>
      <c r="F356" t="s">
        <v>999</v>
      </c>
      <c r="G356" t="s">
        <v>1000</v>
      </c>
      <c r="H356" t="s">
        <v>76</v>
      </c>
      <c r="I356" t="s">
        <v>23</v>
      </c>
      <c r="J356" t="s">
        <v>115</v>
      </c>
      <c r="K356" t="s">
        <v>116</v>
      </c>
      <c r="L356">
        <v>19120</v>
      </c>
      <c r="M356" t="s">
        <v>117</v>
      </c>
      <c r="N356" t="s">
        <v>1816</v>
      </c>
      <c r="O356" t="s">
        <v>28</v>
      </c>
      <c r="P356" t="s">
        <v>55</v>
      </c>
      <c r="Q356" t="s">
        <v>1817</v>
      </c>
      <c r="R356">
        <v>516488</v>
      </c>
    </row>
    <row r="357" spans="1:18" x14ac:dyDescent="0.3">
      <c r="A357" t="s">
        <v>1818</v>
      </c>
      <c r="B357" s="1">
        <v>43193</v>
      </c>
      <c r="C357" s="1">
        <v>43197</v>
      </c>
      <c r="D357" s="1">
        <v>43191</v>
      </c>
      <c r="E357" t="s">
        <v>43</v>
      </c>
      <c r="F357" t="s">
        <v>1819</v>
      </c>
      <c r="G357" t="s">
        <v>1820</v>
      </c>
      <c r="H357" t="s">
        <v>22</v>
      </c>
      <c r="I357" t="s">
        <v>23</v>
      </c>
      <c r="J357" t="s">
        <v>115</v>
      </c>
      <c r="K357" t="s">
        <v>116</v>
      </c>
      <c r="L357">
        <v>19143</v>
      </c>
      <c r="M357" t="s">
        <v>117</v>
      </c>
      <c r="N357" t="s">
        <v>1821</v>
      </c>
      <c r="O357" t="s">
        <v>28</v>
      </c>
      <c r="P357" t="s">
        <v>55</v>
      </c>
      <c r="Q357" t="s">
        <v>1822</v>
      </c>
      <c r="R357">
        <v>25472</v>
      </c>
    </row>
    <row r="358" spans="1:18" x14ac:dyDescent="0.3">
      <c r="A358" t="s">
        <v>1823</v>
      </c>
      <c r="B358" s="1">
        <v>43235</v>
      </c>
      <c r="C358" s="1">
        <v>43238</v>
      </c>
      <c r="D358" s="1">
        <v>43221</v>
      </c>
      <c r="E358" t="s">
        <v>19</v>
      </c>
      <c r="F358" t="s">
        <v>1824</v>
      </c>
      <c r="G358" t="s">
        <v>1825</v>
      </c>
      <c r="H358" t="s">
        <v>22</v>
      </c>
      <c r="I358" t="s">
        <v>23</v>
      </c>
      <c r="J358" t="s">
        <v>405</v>
      </c>
      <c r="K358" t="s">
        <v>232</v>
      </c>
      <c r="L358">
        <v>85023</v>
      </c>
      <c r="M358" t="s">
        <v>37</v>
      </c>
      <c r="N358" t="s">
        <v>1826</v>
      </c>
      <c r="O358" t="s">
        <v>147</v>
      </c>
      <c r="P358" t="s">
        <v>148</v>
      </c>
      <c r="Q358" t="s">
        <v>1827</v>
      </c>
      <c r="R358">
        <v>29592</v>
      </c>
    </row>
    <row r="359" spans="1:18" x14ac:dyDescent="0.3">
      <c r="A359" t="s">
        <v>1828</v>
      </c>
      <c r="B359" s="1">
        <v>42635</v>
      </c>
      <c r="C359" s="1">
        <v>42635</v>
      </c>
      <c r="D359" s="1">
        <v>42614</v>
      </c>
      <c r="E359" t="s">
        <v>857</v>
      </c>
      <c r="F359" t="s">
        <v>1829</v>
      </c>
      <c r="G359" t="s">
        <v>1830</v>
      </c>
      <c r="H359" t="s">
        <v>22</v>
      </c>
      <c r="I359" t="s">
        <v>23</v>
      </c>
      <c r="J359" t="s">
        <v>1480</v>
      </c>
      <c r="K359" t="s">
        <v>36</v>
      </c>
      <c r="L359">
        <v>92054</v>
      </c>
      <c r="M359" t="s">
        <v>37</v>
      </c>
      <c r="N359" t="s">
        <v>1831</v>
      </c>
      <c r="O359" t="s">
        <v>28</v>
      </c>
      <c r="P359" t="s">
        <v>55</v>
      </c>
      <c r="Q359" t="s">
        <v>1832</v>
      </c>
      <c r="R359">
        <v>2046</v>
      </c>
    </row>
    <row r="360" spans="1:18" x14ac:dyDescent="0.3">
      <c r="A360" t="s">
        <v>1833</v>
      </c>
      <c r="B360" s="1">
        <v>42269</v>
      </c>
      <c r="C360" s="1">
        <v>42271</v>
      </c>
      <c r="D360" s="1">
        <v>42248</v>
      </c>
      <c r="E360" t="s">
        <v>19</v>
      </c>
      <c r="F360" t="s">
        <v>1759</v>
      </c>
      <c r="G360" t="s">
        <v>1760</v>
      </c>
      <c r="H360" t="s">
        <v>22</v>
      </c>
      <c r="I360" t="s">
        <v>23</v>
      </c>
      <c r="J360" t="s">
        <v>1834</v>
      </c>
      <c r="K360" t="s">
        <v>47</v>
      </c>
      <c r="L360">
        <v>33433</v>
      </c>
      <c r="M360" t="s">
        <v>26</v>
      </c>
      <c r="N360" t="s">
        <v>1835</v>
      </c>
      <c r="O360" t="s">
        <v>39</v>
      </c>
      <c r="P360" t="s">
        <v>40</v>
      </c>
      <c r="Q360" t="s">
        <v>1836</v>
      </c>
      <c r="R360">
        <v>4608</v>
      </c>
    </row>
    <row r="361" spans="1:18" x14ac:dyDescent="0.3">
      <c r="A361" t="s">
        <v>1837</v>
      </c>
      <c r="B361" s="1">
        <v>43199</v>
      </c>
      <c r="C361" s="1">
        <v>43201</v>
      </c>
      <c r="D361" s="1">
        <v>43191</v>
      </c>
      <c r="E361" t="s">
        <v>142</v>
      </c>
      <c r="F361" t="s">
        <v>1838</v>
      </c>
      <c r="G361" t="s">
        <v>1839</v>
      </c>
      <c r="H361" t="s">
        <v>76</v>
      </c>
      <c r="I361" t="s">
        <v>23</v>
      </c>
      <c r="J361" t="s">
        <v>206</v>
      </c>
      <c r="K361" t="s">
        <v>207</v>
      </c>
      <c r="L361">
        <v>10011</v>
      </c>
      <c r="M361" t="s">
        <v>117</v>
      </c>
      <c r="N361" t="s">
        <v>1840</v>
      </c>
      <c r="O361" t="s">
        <v>39</v>
      </c>
      <c r="P361" t="s">
        <v>40</v>
      </c>
      <c r="Q361" t="s">
        <v>1841</v>
      </c>
      <c r="R361">
        <v>982</v>
      </c>
    </row>
    <row r="362" spans="1:18" x14ac:dyDescent="0.3">
      <c r="A362" t="s">
        <v>1842</v>
      </c>
      <c r="B362" s="1">
        <v>42020</v>
      </c>
      <c r="C362" s="1">
        <v>42022</v>
      </c>
      <c r="D362" s="1">
        <v>42005</v>
      </c>
      <c r="E362" t="s">
        <v>19</v>
      </c>
      <c r="F362" t="s">
        <v>1843</v>
      </c>
      <c r="G362" t="s">
        <v>1844</v>
      </c>
      <c r="H362" t="s">
        <v>22</v>
      </c>
      <c r="I362" t="s">
        <v>23</v>
      </c>
      <c r="J362" t="s">
        <v>115</v>
      </c>
      <c r="K362" t="s">
        <v>116</v>
      </c>
      <c r="L362">
        <v>19134</v>
      </c>
      <c r="M362" t="s">
        <v>117</v>
      </c>
      <c r="N362" t="s">
        <v>1845</v>
      </c>
      <c r="O362" t="s">
        <v>28</v>
      </c>
      <c r="P362" t="s">
        <v>55</v>
      </c>
      <c r="Q362" t="s">
        <v>1846</v>
      </c>
      <c r="R362">
        <v>127104</v>
      </c>
    </row>
    <row r="363" spans="1:18" x14ac:dyDescent="0.3">
      <c r="A363" t="s">
        <v>1847</v>
      </c>
      <c r="B363" s="1">
        <v>43378</v>
      </c>
      <c r="C363" s="1">
        <v>43381</v>
      </c>
      <c r="D363" s="1">
        <v>43374</v>
      </c>
      <c r="E363" t="s">
        <v>19</v>
      </c>
      <c r="F363" t="s">
        <v>1489</v>
      </c>
      <c r="G363" t="s">
        <v>1490</v>
      </c>
      <c r="H363" t="s">
        <v>76</v>
      </c>
      <c r="I363" t="s">
        <v>23</v>
      </c>
      <c r="J363" t="s">
        <v>206</v>
      </c>
      <c r="K363" t="s">
        <v>207</v>
      </c>
      <c r="L363">
        <v>10011</v>
      </c>
      <c r="M363" t="s">
        <v>117</v>
      </c>
      <c r="N363" t="s">
        <v>1152</v>
      </c>
      <c r="O363" t="s">
        <v>147</v>
      </c>
      <c r="P363" t="s">
        <v>148</v>
      </c>
      <c r="Q363" t="s">
        <v>1153</v>
      </c>
      <c r="R363">
        <v>16093</v>
      </c>
    </row>
    <row r="364" spans="1:18" x14ac:dyDescent="0.3">
      <c r="A364" t="s">
        <v>1848</v>
      </c>
      <c r="B364" s="1">
        <v>43290</v>
      </c>
      <c r="C364" s="1">
        <v>43296</v>
      </c>
      <c r="D364" s="1">
        <v>43282</v>
      </c>
      <c r="E364" t="s">
        <v>43</v>
      </c>
      <c r="F364" t="s">
        <v>826</v>
      </c>
      <c r="G364" t="s">
        <v>827</v>
      </c>
      <c r="H364" t="s">
        <v>22</v>
      </c>
      <c r="I364" t="s">
        <v>23</v>
      </c>
      <c r="J364" t="s">
        <v>312</v>
      </c>
      <c r="K364" t="s">
        <v>313</v>
      </c>
      <c r="L364">
        <v>97206</v>
      </c>
      <c r="M364" t="s">
        <v>37</v>
      </c>
      <c r="N364" t="s">
        <v>1849</v>
      </c>
      <c r="O364" t="s">
        <v>39</v>
      </c>
      <c r="P364" t="s">
        <v>71</v>
      </c>
      <c r="Q364" t="s">
        <v>1850</v>
      </c>
      <c r="R364">
        <v>108</v>
      </c>
    </row>
    <row r="365" spans="1:18" x14ac:dyDescent="0.3">
      <c r="A365" t="s">
        <v>1851</v>
      </c>
      <c r="B365" s="1">
        <v>43107</v>
      </c>
      <c r="C365" s="1">
        <v>43110</v>
      </c>
      <c r="D365" s="1">
        <v>43101</v>
      </c>
      <c r="E365" t="s">
        <v>142</v>
      </c>
      <c r="F365" t="s">
        <v>1612</v>
      </c>
      <c r="G365" t="s">
        <v>1613</v>
      </c>
      <c r="H365" t="s">
        <v>34</v>
      </c>
      <c r="I365" t="s">
        <v>23</v>
      </c>
      <c r="J365" t="s">
        <v>628</v>
      </c>
      <c r="K365" t="s">
        <v>186</v>
      </c>
      <c r="L365">
        <v>48205</v>
      </c>
      <c r="M365" t="s">
        <v>79</v>
      </c>
      <c r="N365" t="s">
        <v>679</v>
      </c>
      <c r="O365" t="s">
        <v>147</v>
      </c>
      <c r="P365" t="s">
        <v>680</v>
      </c>
      <c r="Q365" t="s">
        <v>681</v>
      </c>
      <c r="R365">
        <v>3059982</v>
      </c>
    </row>
    <row r="366" spans="1:18" x14ac:dyDescent="0.3">
      <c r="A366" t="s">
        <v>1852</v>
      </c>
      <c r="B366" s="1">
        <v>42713</v>
      </c>
      <c r="C366" s="1">
        <v>42716</v>
      </c>
      <c r="D366" s="1">
        <v>42705</v>
      </c>
      <c r="E366" t="s">
        <v>142</v>
      </c>
      <c r="F366" t="s">
        <v>259</v>
      </c>
      <c r="G366" t="s">
        <v>260</v>
      </c>
      <c r="H366" t="s">
        <v>34</v>
      </c>
      <c r="I366" t="s">
        <v>23</v>
      </c>
      <c r="J366" t="s">
        <v>376</v>
      </c>
      <c r="K366" t="s">
        <v>200</v>
      </c>
      <c r="L366">
        <v>47201</v>
      </c>
      <c r="M366" t="s">
        <v>79</v>
      </c>
      <c r="N366" t="s">
        <v>1853</v>
      </c>
      <c r="O366" t="s">
        <v>39</v>
      </c>
      <c r="P366" t="s">
        <v>63</v>
      </c>
      <c r="Q366" t="s">
        <v>1854</v>
      </c>
      <c r="R366">
        <v>3402</v>
      </c>
    </row>
    <row r="367" spans="1:18" x14ac:dyDescent="0.3">
      <c r="A367" t="s">
        <v>1855</v>
      </c>
      <c r="B367" s="1">
        <v>43372</v>
      </c>
      <c r="C367" s="1">
        <v>43378</v>
      </c>
      <c r="D367" s="1">
        <v>43344</v>
      </c>
      <c r="E367" t="s">
        <v>43</v>
      </c>
      <c r="F367" t="s">
        <v>1856</v>
      </c>
      <c r="G367" t="s">
        <v>1857</v>
      </c>
      <c r="H367" t="s">
        <v>76</v>
      </c>
      <c r="I367" t="s">
        <v>23</v>
      </c>
      <c r="J367" t="s">
        <v>443</v>
      </c>
      <c r="K367" t="s">
        <v>78</v>
      </c>
      <c r="L367">
        <v>77506</v>
      </c>
      <c r="M367" t="s">
        <v>79</v>
      </c>
      <c r="N367" t="s">
        <v>1858</v>
      </c>
      <c r="O367" t="s">
        <v>39</v>
      </c>
      <c r="P367" t="s">
        <v>40</v>
      </c>
      <c r="Q367" t="s">
        <v>1859</v>
      </c>
      <c r="R367">
        <v>7968</v>
      </c>
    </row>
    <row r="368" spans="1:18" x14ac:dyDescent="0.3">
      <c r="A368" t="s">
        <v>1860</v>
      </c>
      <c r="B368" s="1">
        <v>42439</v>
      </c>
      <c r="C368" s="1">
        <v>42439</v>
      </c>
      <c r="D368" s="1">
        <v>42430</v>
      </c>
      <c r="E368" t="s">
        <v>857</v>
      </c>
      <c r="F368" t="s">
        <v>1861</v>
      </c>
      <c r="G368" t="s">
        <v>1862</v>
      </c>
      <c r="H368" t="s">
        <v>22</v>
      </c>
      <c r="I368" t="s">
        <v>23</v>
      </c>
      <c r="J368" t="s">
        <v>138</v>
      </c>
      <c r="K368" t="s">
        <v>78</v>
      </c>
      <c r="L368">
        <v>77041</v>
      </c>
      <c r="M368" t="s">
        <v>79</v>
      </c>
      <c r="N368" t="s">
        <v>1863</v>
      </c>
      <c r="O368" t="s">
        <v>39</v>
      </c>
      <c r="P368" t="s">
        <v>71</v>
      </c>
      <c r="Q368" t="s">
        <v>1864</v>
      </c>
      <c r="R368">
        <v>1112</v>
      </c>
    </row>
    <row r="369" spans="1:18" x14ac:dyDescent="0.3">
      <c r="A369" t="s">
        <v>1865</v>
      </c>
      <c r="B369" s="1">
        <v>43241</v>
      </c>
      <c r="C369" s="1">
        <v>43246</v>
      </c>
      <c r="D369" s="1">
        <v>43221</v>
      </c>
      <c r="E369" t="s">
        <v>43</v>
      </c>
      <c r="F369" t="s">
        <v>1079</v>
      </c>
      <c r="G369" t="s">
        <v>1080</v>
      </c>
      <c r="H369" t="s">
        <v>34</v>
      </c>
      <c r="I369" t="s">
        <v>23</v>
      </c>
      <c r="J369" t="s">
        <v>1026</v>
      </c>
      <c r="K369" t="s">
        <v>207</v>
      </c>
      <c r="L369">
        <v>13021</v>
      </c>
      <c r="M369" t="s">
        <v>117</v>
      </c>
      <c r="N369" t="s">
        <v>1417</v>
      </c>
      <c r="O369" t="s">
        <v>28</v>
      </c>
      <c r="P369" t="s">
        <v>55</v>
      </c>
      <c r="Q369" t="s">
        <v>1418</v>
      </c>
      <c r="R369">
        <v>52005</v>
      </c>
    </row>
    <row r="370" spans="1:18" x14ac:dyDescent="0.3">
      <c r="A370" t="s">
        <v>1866</v>
      </c>
      <c r="B370" s="1">
        <v>42458</v>
      </c>
      <c r="C370" s="1">
        <v>42460</v>
      </c>
      <c r="D370" s="1">
        <v>42430</v>
      </c>
      <c r="E370" t="s">
        <v>19</v>
      </c>
      <c r="F370" t="s">
        <v>1867</v>
      </c>
      <c r="G370" t="s">
        <v>1868</v>
      </c>
      <c r="H370" t="s">
        <v>76</v>
      </c>
      <c r="I370" t="s">
        <v>23</v>
      </c>
      <c r="J370" t="s">
        <v>1007</v>
      </c>
      <c r="K370" t="s">
        <v>47</v>
      </c>
      <c r="L370">
        <v>32216</v>
      </c>
      <c r="M370" t="s">
        <v>26</v>
      </c>
      <c r="N370" t="s">
        <v>1869</v>
      </c>
      <c r="O370" t="s">
        <v>28</v>
      </c>
      <c r="P370" t="s">
        <v>119</v>
      </c>
      <c r="Q370" t="s">
        <v>1870</v>
      </c>
      <c r="R370">
        <v>116692</v>
      </c>
    </row>
    <row r="371" spans="1:18" x14ac:dyDescent="0.3">
      <c r="A371" t="s">
        <v>1871</v>
      </c>
      <c r="B371" s="1">
        <v>42987</v>
      </c>
      <c r="C371" s="1">
        <v>42989</v>
      </c>
      <c r="D371" s="1">
        <v>42979</v>
      </c>
      <c r="E371" t="s">
        <v>142</v>
      </c>
      <c r="F371" t="s">
        <v>403</v>
      </c>
      <c r="G371" t="s">
        <v>404</v>
      </c>
      <c r="H371" t="s">
        <v>22</v>
      </c>
      <c r="I371" t="s">
        <v>23</v>
      </c>
      <c r="J371" t="s">
        <v>206</v>
      </c>
      <c r="K371" t="s">
        <v>207</v>
      </c>
      <c r="L371">
        <v>10024</v>
      </c>
      <c r="M371" t="s">
        <v>117</v>
      </c>
      <c r="N371" t="s">
        <v>1546</v>
      </c>
      <c r="O371" t="s">
        <v>39</v>
      </c>
      <c r="P371" t="s">
        <v>71</v>
      </c>
      <c r="Q371" t="s">
        <v>1547</v>
      </c>
      <c r="R371">
        <v>14624</v>
      </c>
    </row>
    <row r="372" spans="1:18" x14ac:dyDescent="0.3">
      <c r="A372" t="s">
        <v>1872</v>
      </c>
      <c r="B372" s="1">
        <v>42973</v>
      </c>
      <c r="C372" s="1">
        <v>42974</v>
      </c>
      <c r="D372" s="1">
        <v>42948</v>
      </c>
      <c r="E372" t="s">
        <v>142</v>
      </c>
      <c r="F372" t="s">
        <v>1502</v>
      </c>
      <c r="G372" t="s">
        <v>1503</v>
      </c>
      <c r="H372" t="s">
        <v>22</v>
      </c>
      <c r="I372" t="s">
        <v>23</v>
      </c>
      <c r="J372" t="s">
        <v>459</v>
      </c>
      <c r="K372" t="s">
        <v>36</v>
      </c>
      <c r="L372">
        <v>95123</v>
      </c>
      <c r="M372" t="s">
        <v>37</v>
      </c>
      <c r="N372" t="s">
        <v>1873</v>
      </c>
      <c r="O372" t="s">
        <v>39</v>
      </c>
      <c r="P372" t="s">
        <v>209</v>
      </c>
      <c r="Q372" t="s">
        <v>1874</v>
      </c>
      <c r="R372">
        <v>1023</v>
      </c>
    </row>
    <row r="373" spans="1:18" x14ac:dyDescent="0.3">
      <c r="A373" t="s">
        <v>1875</v>
      </c>
      <c r="B373" s="1">
        <v>42145</v>
      </c>
      <c r="C373" s="1">
        <v>42149</v>
      </c>
      <c r="D373" s="1">
        <v>42125</v>
      </c>
      <c r="E373" t="s">
        <v>43</v>
      </c>
      <c r="F373" t="s">
        <v>1876</v>
      </c>
      <c r="G373" t="s">
        <v>1877</v>
      </c>
      <c r="H373" t="s">
        <v>34</v>
      </c>
      <c r="I373" t="s">
        <v>23</v>
      </c>
      <c r="J373" t="s">
        <v>1878</v>
      </c>
      <c r="K373" t="s">
        <v>239</v>
      </c>
      <c r="L373">
        <v>23464</v>
      </c>
      <c r="M373" t="s">
        <v>26</v>
      </c>
      <c r="N373" t="s">
        <v>1879</v>
      </c>
      <c r="O373" t="s">
        <v>39</v>
      </c>
      <c r="P373" t="s">
        <v>71</v>
      </c>
      <c r="Q373" t="s">
        <v>1880</v>
      </c>
      <c r="R373">
        <v>271593</v>
      </c>
    </row>
    <row r="374" spans="1:18" x14ac:dyDescent="0.3">
      <c r="A374" t="s">
        <v>1881</v>
      </c>
      <c r="B374" s="1">
        <v>42671</v>
      </c>
      <c r="C374" s="1">
        <v>42677</v>
      </c>
      <c r="D374" s="1">
        <v>42644</v>
      </c>
      <c r="E374" t="s">
        <v>43</v>
      </c>
      <c r="F374" t="s">
        <v>1882</v>
      </c>
      <c r="G374" t="s">
        <v>1883</v>
      </c>
      <c r="H374" t="s">
        <v>22</v>
      </c>
      <c r="I374" t="s">
        <v>23</v>
      </c>
      <c r="J374" t="s">
        <v>24</v>
      </c>
      <c r="K374" t="s">
        <v>25</v>
      </c>
      <c r="L374">
        <v>42420</v>
      </c>
      <c r="M374" t="s">
        <v>26</v>
      </c>
      <c r="N374" t="s">
        <v>1884</v>
      </c>
      <c r="O374" t="s">
        <v>39</v>
      </c>
      <c r="P374" t="s">
        <v>154</v>
      </c>
      <c r="Q374" t="s">
        <v>1885</v>
      </c>
      <c r="R374">
        <v>1067</v>
      </c>
    </row>
    <row r="375" spans="1:18" x14ac:dyDescent="0.3">
      <c r="A375" t="s">
        <v>1886</v>
      </c>
      <c r="B375" s="1">
        <v>43052</v>
      </c>
      <c r="C375" s="1">
        <v>43056</v>
      </c>
      <c r="D375" s="1">
        <v>43040</v>
      </c>
      <c r="E375" t="s">
        <v>43</v>
      </c>
      <c r="F375" t="s">
        <v>543</v>
      </c>
      <c r="G375" t="s">
        <v>544</v>
      </c>
      <c r="H375" t="s">
        <v>76</v>
      </c>
      <c r="I375" t="s">
        <v>23</v>
      </c>
      <c r="J375" t="s">
        <v>1887</v>
      </c>
      <c r="K375" t="s">
        <v>69</v>
      </c>
      <c r="L375">
        <v>98661</v>
      </c>
      <c r="M375" t="s">
        <v>37</v>
      </c>
      <c r="N375" t="s">
        <v>1637</v>
      </c>
      <c r="O375" t="s">
        <v>39</v>
      </c>
      <c r="P375" t="s">
        <v>103</v>
      </c>
      <c r="Q375" t="s">
        <v>1638</v>
      </c>
      <c r="R375">
        <v>4402</v>
      </c>
    </row>
    <row r="376" spans="1:18" x14ac:dyDescent="0.3">
      <c r="A376" t="s">
        <v>1888</v>
      </c>
      <c r="B376" s="1">
        <v>42582</v>
      </c>
      <c r="C376" s="1">
        <v>42582</v>
      </c>
      <c r="D376" s="1">
        <v>42552</v>
      </c>
      <c r="E376" t="s">
        <v>857</v>
      </c>
      <c r="F376" t="s">
        <v>1576</v>
      </c>
      <c r="G376" t="s">
        <v>1577</v>
      </c>
      <c r="H376" t="s">
        <v>22</v>
      </c>
      <c r="I376" t="s">
        <v>23</v>
      </c>
      <c r="J376" t="s">
        <v>206</v>
      </c>
      <c r="K376" t="s">
        <v>207</v>
      </c>
      <c r="L376">
        <v>10024</v>
      </c>
      <c r="M376" t="s">
        <v>117</v>
      </c>
      <c r="N376" t="s">
        <v>1889</v>
      </c>
      <c r="O376" t="s">
        <v>147</v>
      </c>
      <c r="P376" t="s">
        <v>180</v>
      </c>
      <c r="Q376" t="s">
        <v>1890</v>
      </c>
      <c r="R376">
        <v>230965</v>
      </c>
    </row>
    <row r="377" spans="1:18" x14ac:dyDescent="0.3">
      <c r="A377" t="s">
        <v>1891</v>
      </c>
      <c r="B377" s="1">
        <v>42609</v>
      </c>
      <c r="C377" s="1">
        <v>42613</v>
      </c>
      <c r="D377" s="1">
        <v>42583</v>
      </c>
      <c r="E377" t="s">
        <v>43</v>
      </c>
      <c r="F377" t="s">
        <v>1892</v>
      </c>
      <c r="G377" t="s">
        <v>1893</v>
      </c>
      <c r="H377" t="s">
        <v>22</v>
      </c>
      <c r="I377" t="s">
        <v>23</v>
      </c>
      <c r="J377" t="s">
        <v>1894</v>
      </c>
      <c r="K377" t="s">
        <v>36</v>
      </c>
      <c r="L377">
        <v>92563</v>
      </c>
      <c r="M377" t="s">
        <v>37</v>
      </c>
      <c r="N377" t="s">
        <v>1895</v>
      </c>
      <c r="O377" t="s">
        <v>39</v>
      </c>
      <c r="P377" t="s">
        <v>89</v>
      </c>
      <c r="Q377" t="s">
        <v>1896</v>
      </c>
      <c r="R377">
        <v>48465</v>
      </c>
    </row>
    <row r="378" spans="1:18" x14ac:dyDescent="0.3">
      <c r="A378" t="s">
        <v>1897</v>
      </c>
      <c r="B378" s="1">
        <v>42680</v>
      </c>
      <c r="C378" s="1">
        <v>42683</v>
      </c>
      <c r="D378" s="1">
        <v>42675</v>
      </c>
      <c r="E378" t="s">
        <v>142</v>
      </c>
      <c r="F378" t="s">
        <v>1898</v>
      </c>
      <c r="G378" t="s">
        <v>1899</v>
      </c>
      <c r="H378" t="s">
        <v>22</v>
      </c>
      <c r="I378" t="s">
        <v>23</v>
      </c>
      <c r="J378" t="s">
        <v>453</v>
      </c>
      <c r="K378" t="s">
        <v>232</v>
      </c>
      <c r="L378">
        <v>85254</v>
      </c>
      <c r="M378" t="s">
        <v>37</v>
      </c>
      <c r="N378" t="s">
        <v>1900</v>
      </c>
      <c r="O378" t="s">
        <v>39</v>
      </c>
      <c r="P378" t="s">
        <v>154</v>
      </c>
      <c r="Q378" t="s">
        <v>1901</v>
      </c>
      <c r="R378">
        <v>708</v>
      </c>
    </row>
    <row r="379" spans="1:18" x14ac:dyDescent="0.3">
      <c r="A379" t="s">
        <v>1902</v>
      </c>
      <c r="B379" s="1">
        <v>43460</v>
      </c>
      <c r="C379" s="1">
        <v>43466</v>
      </c>
      <c r="D379" s="1">
        <v>43435</v>
      </c>
      <c r="E379" t="s">
        <v>43</v>
      </c>
      <c r="F379" t="s">
        <v>792</v>
      </c>
      <c r="G379" t="s">
        <v>793</v>
      </c>
      <c r="H379" t="s">
        <v>22</v>
      </c>
      <c r="I379" t="s">
        <v>23</v>
      </c>
      <c r="J379" t="s">
        <v>1405</v>
      </c>
      <c r="K379" t="s">
        <v>370</v>
      </c>
      <c r="L379">
        <v>52601</v>
      </c>
      <c r="M379" t="s">
        <v>79</v>
      </c>
      <c r="N379" t="s">
        <v>1903</v>
      </c>
      <c r="O379" t="s">
        <v>39</v>
      </c>
      <c r="P379" t="s">
        <v>63</v>
      </c>
      <c r="Q379" t="s">
        <v>1904</v>
      </c>
      <c r="R379">
        <v>4475</v>
      </c>
    </row>
    <row r="380" spans="1:18" x14ac:dyDescent="0.3">
      <c r="A380" t="s">
        <v>1905</v>
      </c>
      <c r="B380" s="1">
        <v>43313</v>
      </c>
      <c r="C380" s="1">
        <v>43315</v>
      </c>
      <c r="D380" s="1">
        <v>43313</v>
      </c>
      <c r="E380" t="s">
        <v>142</v>
      </c>
      <c r="F380" t="s">
        <v>1320</v>
      </c>
      <c r="G380" t="s">
        <v>1321</v>
      </c>
      <c r="H380" t="s">
        <v>22</v>
      </c>
      <c r="I380" t="s">
        <v>23</v>
      </c>
      <c r="J380" t="s">
        <v>225</v>
      </c>
      <c r="K380" t="s">
        <v>160</v>
      </c>
      <c r="L380">
        <v>60653</v>
      </c>
      <c r="M380" t="s">
        <v>79</v>
      </c>
      <c r="N380" t="s">
        <v>1527</v>
      </c>
      <c r="O380" t="s">
        <v>147</v>
      </c>
      <c r="P380" t="s">
        <v>148</v>
      </c>
      <c r="Q380" t="s">
        <v>1528</v>
      </c>
      <c r="R380">
        <v>95984</v>
      </c>
    </row>
    <row r="381" spans="1:18" x14ac:dyDescent="0.3">
      <c r="A381" t="s">
        <v>1906</v>
      </c>
      <c r="B381" s="1">
        <v>42725</v>
      </c>
      <c r="C381" s="1">
        <v>42728</v>
      </c>
      <c r="D381" s="1">
        <v>42705</v>
      </c>
      <c r="E381" t="s">
        <v>19</v>
      </c>
      <c r="F381" t="s">
        <v>1907</v>
      </c>
      <c r="G381" t="s">
        <v>1908</v>
      </c>
      <c r="H381" t="s">
        <v>22</v>
      </c>
      <c r="I381" t="s">
        <v>23</v>
      </c>
      <c r="J381" t="s">
        <v>68</v>
      </c>
      <c r="K381" t="s">
        <v>69</v>
      </c>
      <c r="L381">
        <v>98103</v>
      </c>
      <c r="M381" t="s">
        <v>37</v>
      </c>
      <c r="N381" t="s">
        <v>1909</v>
      </c>
      <c r="O381" t="s">
        <v>28</v>
      </c>
      <c r="P381" t="s">
        <v>49</v>
      </c>
      <c r="Q381" t="s">
        <v>1910</v>
      </c>
      <c r="R381">
        <v>161837</v>
      </c>
    </row>
    <row r="382" spans="1:18" x14ac:dyDescent="0.3">
      <c r="A382" t="s">
        <v>1911</v>
      </c>
      <c r="B382" s="1">
        <v>42557</v>
      </c>
      <c r="C382" s="1">
        <v>42561</v>
      </c>
      <c r="D382" s="1">
        <v>42552</v>
      </c>
      <c r="E382" t="s">
        <v>43</v>
      </c>
      <c r="F382" t="s">
        <v>1912</v>
      </c>
      <c r="G382" t="s">
        <v>1913</v>
      </c>
      <c r="H382" t="s">
        <v>34</v>
      </c>
      <c r="I382" t="s">
        <v>23</v>
      </c>
      <c r="J382" t="s">
        <v>206</v>
      </c>
      <c r="K382" t="s">
        <v>207</v>
      </c>
      <c r="L382">
        <v>10011</v>
      </c>
      <c r="M382" t="s">
        <v>117</v>
      </c>
      <c r="N382" t="s">
        <v>1914</v>
      </c>
      <c r="O382" t="s">
        <v>28</v>
      </c>
      <c r="P382" t="s">
        <v>55</v>
      </c>
      <c r="Q382" t="s">
        <v>1915</v>
      </c>
      <c r="R382">
        <v>1396</v>
      </c>
    </row>
    <row r="383" spans="1:18" x14ac:dyDescent="0.3">
      <c r="A383" t="s">
        <v>1916</v>
      </c>
      <c r="B383" s="1">
        <v>42487</v>
      </c>
      <c r="C383" s="1">
        <v>42493</v>
      </c>
      <c r="D383" s="1">
        <v>42461</v>
      </c>
      <c r="E383" t="s">
        <v>43</v>
      </c>
      <c r="F383" t="s">
        <v>1221</v>
      </c>
      <c r="G383" t="s">
        <v>1222</v>
      </c>
      <c r="H383" t="s">
        <v>22</v>
      </c>
      <c r="I383" t="s">
        <v>23</v>
      </c>
      <c r="J383" t="s">
        <v>69</v>
      </c>
      <c r="K383" t="s">
        <v>1917</v>
      </c>
      <c r="L383">
        <v>20016</v>
      </c>
      <c r="M383" t="s">
        <v>117</v>
      </c>
      <c r="N383" t="s">
        <v>1918</v>
      </c>
      <c r="O383" t="s">
        <v>39</v>
      </c>
      <c r="P383" t="s">
        <v>103</v>
      </c>
      <c r="Q383" t="s">
        <v>1919</v>
      </c>
      <c r="R383">
        <v>2274</v>
      </c>
    </row>
    <row r="384" spans="1:18" x14ac:dyDescent="0.3">
      <c r="A384" t="s">
        <v>1920</v>
      </c>
      <c r="B384" s="1">
        <v>42537</v>
      </c>
      <c r="C384" s="1">
        <v>42541</v>
      </c>
      <c r="D384" s="1">
        <v>42522</v>
      </c>
      <c r="E384" t="s">
        <v>43</v>
      </c>
      <c r="F384" t="s">
        <v>970</v>
      </c>
      <c r="G384" t="s">
        <v>971</v>
      </c>
      <c r="H384" t="s">
        <v>22</v>
      </c>
      <c r="I384" t="s">
        <v>23</v>
      </c>
      <c r="J384" t="s">
        <v>115</v>
      </c>
      <c r="K384" t="s">
        <v>116</v>
      </c>
      <c r="L384">
        <v>19134</v>
      </c>
      <c r="M384" t="s">
        <v>117</v>
      </c>
      <c r="N384" t="s">
        <v>1921</v>
      </c>
      <c r="O384" t="s">
        <v>39</v>
      </c>
      <c r="P384" t="s">
        <v>154</v>
      </c>
      <c r="Q384" t="s">
        <v>1922</v>
      </c>
      <c r="R384">
        <v>6208</v>
      </c>
    </row>
    <row r="385" spans="1:18" x14ac:dyDescent="0.3">
      <c r="A385" t="s">
        <v>1923</v>
      </c>
      <c r="B385" s="1">
        <v>42746</v>
      </c>
      <c r="C385" s="1">
        <v>42748</v>
      </c>
      <c r="D385" s="1">
        <v>42736</v>
      </c>
      <c r="E385" t="s">
        <v>19</v>
      </c>
      <c r="F385" t="s">
        <v>1924</v>
      </c>
      <c r="G385" t="s">
        <v>1925</v>
      </c>
      <c r="H385" t="s">
        <v>76</v>
      </c>
      <c r="I385" t="s">
        <v>23</v>
      </c>
      <c r="J385" t="s">
        <v>238</v>
      </c>
      <c r="K385" t="s">
        <v>377</v>
      </c>
      <c r="L385">
        <v>45503</v>
      </c>
      <c r="M385" t="s">
        <v>117</v>
      </c>
      <c r="N385" t="s">
        <v>1926</v>
      </c>
      <c r="O385" t="s">
        <v>39</v>
      </c>
      <c r="P385" t="s">
        <v>63</v>
      </c>
      <c r="Q385" t="s">
        <v>1927</v>
      </c>
      <c r="R385">
        <v>15552</v>
      </c>
    </row>
    <row r="386" spans="1:18" x14ac:dyDescent="0.3">
      <c r="A386" t="s">
        <v>1928</v>
      </c>
      <c r="B386" s="1">
        <v>42196</v>
      </c>
      <c r="C386" s="1">
        <v>42200</v>
      </c>
      <c r="D386" s="1">
        <v>42186</v>
      </c>
      <c r="E386" t="s">
        <v>43</v>
      </c>
      <c r="F386" t="s">
        <v>892</v>
      </c>
      <c r="G386" t="s">
        <v>893</v>
      </c>
      <c r="H386" t="s">
        <v>34</v>
      </c>
      <c r="I386" t="s">
        <v>23</v>
      </c>
      <c r="J386" t="s">
        <v>760</v>
      </c>
      <c r="K386" t="s">
        <v>701</v>
      </c>
      <c r="L386">
        <v>7601</v>
      </c>
      <c r="M386" t="s">
        <v>117</v>
      </c>
      <c r="N386" t="s">
        <v>1929</v>
      </c>
      <c r="O386" t="s">
        <v>39</v>
      </c>
      <c r="P386" t="s">
        <v>63</v>
      </c>
      <c r="Q386" t="s">
        <v>140</v>
      </c>
      <c r="R386">
        <v>1772</v>
      </c>
    </row>
    <row r="387" spans="1:18" x14ac:dyDescent="0.3">
      <c r="A387" t="s">
        <v>1930</v>
      </c>
      <c r="B387" s="1">
        <v>42534</v>
      </c>
      <c r="C387" s="1">
        <v>42535</v>
      </c>
      <c r="D387" s="1">
        <v>42522</v>
      </c>
      <c r="E387" t="s">
        <v>142</v>
      </c>
      <c r="F387" t="s">
        <v>1931</v>
      </c>
      <c r="G387" t="s">
        <v>1932</v>
      </c>
      <c r="H387" t="s">
        <v>22</v>
      </c>
      <c r="I387" t="s">
        <v>23</v>
      </c>
      <c r="J387" t="s">
        <v>35</v>
      </c>
      <c r="K387" t="s">
        <v>36</v>
      </c>
      <c r="L387">
        <v>90004</v>
      </c>
      <c r="M387" t="s">
        <v>37</v>
      </c>
      <c r="N387" t="s">
        <v>1933</v>
      </c>
      <c r="O387" t="s">
        <v>39</v>
      </c>
      <c r="P387" t="s">
        <v>71</v>
      </c>
      <c r="Q387" t="s">
        <v>1934</v>
      </c>
      <c r="R387">
        <v>36624</v>
      </c>
    </row>
    <row r="388" spans="1:18" x14ac:dyDescent="0.3">
      <c r="A388" t="s">
        <v>1935</v>
      </c>
      <c r="B388" s="1">
        <v>43385</v>
      </c>
      <c r="C388" s="1">
        <v>43389</v>
      </c>
      <c r="D388" s="1">
        <v>43374</v>
      </c>
      <c r="E388" t="s">
        <v>43</v>
      </c>
      <c r="F388" t="s">
        <v>151</v>
      </c>
      <c r="G388" t="s">
        <v>152</v>
      </c>
      <c r="H388" t="s">
        <v>76</v>
      </c>
      <c r="I388" t="s">
        <v>23</v>
      </c>
      <c r="J388" t="s">
        <v>1936</v>
      </c>
      <c r="K388" t="s">
        <v>160</v>
      </c>
      <c r="L388">
        <v>61107</v>
      </c>
      <c r="M388" t="s">
        <v>79</v>
      </c>
      <c r="N388" t="s">
        <v>1937</v>
      </c>
      <c r="O388" t="s">
        <v>28</v>
      </c>
      <c r="P388" t="s">
        <v>119</v>
      </c>
      <c r="Q388" t="s">
        <v>1938</v>
      </c>
      <c r="R388">
        <v>254604</v>
      </c>
    </row>
    <row r="389" spans="1:18" x14ac:dyDescent="0.3">
      <c r="A389" t="s">
        <v>1939</v>
      </c>
      <c r="B389" s="1">
        <v>42802</v>
      </c>
      <c r="C389" s="1">
        <v>42807</v>
      </c>
      <c r="D389" s="1">
        <v>42795</v>
      </c>
      <c r="E389" t="s">
        <v>43</v>
      </c>
      <c r="F389" t="s">
        <v>1273</v>
      </c>
      <c r="G389" t="s">
        <v>1274</v>
      </c>
      <c r="H389" t="s">
        <v>22</v>
      </c>
      <c r="I389" t="s">
        <v>23</v>
      </c>
      <c r="J389" t="s">
        <v>952</v>
      </c>
      <c r="K389" t="s">
        <v>47</v>
      </c>
      <c r="L389">
        <v>33142</v>
      </c>
      <c r="M389" t="s">
        <v>26</v>
      </c>
      <c r="N389" t="s">
        <v>1940</v>
      </c>
      <c r="O389" t="s">
        <v>147</v>
      </c>
      <c r="P389" t="s">
        <v>148</v>
      </c>
      <c r="Q389" t="s">
        <v>1941</v>
      </c>
      <c r="R389">
        <v>136396</v>
      </c>
    </row>
    <row r="390" spans="1:18" x14ac:dyDescent="0.3">
      <c r="A390" t="s">
        <v>1942</v>
      </c>
      <c r="B390" s="1">
        <v>42464</v>
      </c>
      <c r="C390" s="1">
        <v>42468</v>
      </c>
      <c r="D390" s="1">
        <v>42461</v>
      </c>
      <c r="E390" t="s">
        <v>43</v>
      </c>
      <c r="F390" t="s">
        <v>1943</v>
      </c>
      <c r="G390" t="s">
        <v>1944</v>
      </c>
      <c r="H390" t="s">
        <v>76</v>
      </c>
      <c r="I390" t="s">
        <v>23</v>
      </c>
      <c r="J390" t="s">
        <v>206</v>
      </c>
      <c r="K390" t="s">
        <v>207</v>
      </c>
      <c r="L390">
        <v>10009</v>
      </c>
      <c r="M390" t="s">
        <v>117</v>
      </c>
      <c r="N390" t="s">
        <v>1945</v>
      </c>
      <c r="O390" t="s">
        <v>39</v>
      </c>
      <c r="P390" t="s">
        <v>103</v>
      </c>
      <c r="Q390" t="s">
        <v>1946</v>
      </c>
      <c r="R390">
        <v>1116</v>
      </c>
    </row>
    <row r="391" spans="1:18" x14ac:dyDescent="0.3">
      <c r="A391" t="s">
        <v>1947</v>
      </c>
      <c r="B391" s="1">
        <v>43444</v>
      </c>
      <c r="C391" s="1">
        <v>43451</v>
      </c>
      <c r="D391" s="1">
        <v>43435</v>
      </c>
      <c r="E391" t="s">
        <v>43</v>
      </c>
      <c r="F391" t="s">
        <v>752</v>
      </c>
      <c r="G391" t="s">
        <v>753</v>
      </c>
      <c r="H391" t="s">
        <v>34</v>
      </c>
      <c r="I391" t="s">
        <v>23</v>
      </c>
      <c r="J391" t="s">
        <v>663</v>
      </c>
      <c r="K391" t="s">
        <v>36</v>
      </c>
      <c r="L391">
        <v>92037</v>
      </c>
      <c r="M391" t="s">
        <v>37</v>
      </c>
      <c r="N391" t="s">
        <v>1948</v>
      </c>
      <c r="O391" t="s">
        <v>39</v>
      </c>
      <c r="P391" t="s">
        <v>71</v>
      </c>
      <c r="Q391" t="s">
        <v>1949</v>
      </c>
      <c r="R391">
        <v>19936</v>
      </c>
    </row>
    <row r="392" spans="1:18" x14ac:dyDescent="0.3">
      <c r="A392" t="s">
        <v>1950</v>
      </c>
      <c r="B392" s="1">
        <v>43063</v>
      </c>
      <c r="C392" s="1">
        <v>43070</v>
      </c>
      <c r="D392" s="1">
        <v>43040</v>
      </c>
      <c r="E392" t="s">
        <v>43</v>
      </c>
      <c r="F392" t="s">
        <v>1951</v>
      </c>
      <c r="G392" t="s">
        <v>1952</v>
      </c>
      <c r="H392" t="s">
        <v>76</v>
      </c>
      <c r="I392" t="s">
        <v>23</v>
      </c>
      <c r="J392" t="s">
        <v>115</v>
      </c>
      <c r="K392" t="s">
        <v>116</v>
      </c>
      <c r="L392">
        <v>19143</v>
      </c>
      <c r="M392" t="s">
        <v>117</v>
      </c>
      <c r="N392" t="s">
        <v>1953</v>
      </c>
      <c r="O392" t="s">
        <v>39</v>
      </c>
      <c r="P392" t="s">
        <v>209</v>
      </c>
      <c r="Q392" t="s">
        <v>1954</v>
      </c>
      <c r="R392">
        <v>4416</v>
      </c>
    </row>
    <row r="393" spans="1:18" x14ac:dyDescent="0.3">
      <c r="A393" t="s">
        <v>1955</v>
      </c>
      <c r="B393" s="1">
        <v>42452</v>
      </c>
      <c r="C393" s="1">
        <v>42458</v>
      </c>
      <c r="D393" s="1">
        <v>42430</v>
      </c>
      <c r="E393" t="s">
        <v>43</v>
      </c>
      <c r="F393" t="s">
        <v>854</v>
      </c>
      <c r="G393" t="s">
        <v>855</v>
      </c>
      <c r="H393" t="s">
        <v>22</v>
      </c>
      <c r="I393" t="s">
        <v>23</v>
      </c>
      <c r="J393" t="s">
        <v>138</v>
      </c>
      <c r="K393" t="s">
        <v>78</v>
      </c>
      <c r="L393">
        <v>77095</v>
      </c>
      <c r="M393" t="s">
        <v>79</v>
      </c>
      <c r="N393" t="s">
        <v>1016</v>
      </c>
      <c r="O393" t="s">
        <v>28</v>
      </c>
      <c r="P393" t="s">
        <v>119</v>
      </c>
      <c r="Q393" t="s">
        <v>1017</v>
      </c>
      <c r="R393">
        <v>107772</v>
      </c>
    </row>
    <row r="394" spans="1:18" x14ac:dyDescent="0.3">
      <c r="A394" t="s">
        <v>1956</v>
      </c>
      <c r="B394" s="1">
        <v>42476</v>
      </c>
      <c r="C394" s="1">
        <v>42481</v>
      </c>
      <c r="D394" s="1">
        <v>42461</v>
      </c>
      <c r="E394" t="s">
        <v>43</v>
      </c>
      <c r="F394" t="s">
        <v>1957</v>
      </c>
      <c r="G394" t="s">
        <v>1958</v>
      </c>
      <c r="H394" t="s">
        <v>34</v>
      </c>
      <c r="I394" t="s">
        <v>23</v>
      </c>
      <c r="J394" t="s">
        <v>1797</v>
      </c>
      <c r="K394" t="s">
        <v>377</v>
      </c>
      <c r="L394">
        <v>43615</v>
      </c>
      <c r="M394" t="s">
        <v>117</v>
      </c>
      <c r="N394" t="s">
        <v>1959</v>
      </c>
      <c r="O394" t="s">
        <v>39</v>
      </c>
      <c r="P394" t="s">
        <v>81</v>
      </c>
      <c r="Q394" t="s">
        <v>1960</v>
      </c>
      <c r="R394">
        <v>45216</v>
      </c>
    </row>
    <row r="395" spans="1:18" x14ac:dyDescent="0.3">
      <c r="A395" t="s">
        <v>1961</v>
      </c>
      <c r="B395" s="1">
        <v>43009</v>
      </c>
      <c r="C395" s="1">
        <v>43010</v>
      </c>
      <c r="D395" s="1">
        <v>43009</v>
      </c>
      <c r="E395" t="s">
        <v>142</v>
      </c>
      <c r="F395" t="s">
        <v>1962</v>
      </c>
      <c r="G395" t="s">
        <v>1963</v>
      </c>
      <c r="H395" t="s">
        <v>22</v>
      </c>
      <c r="I395" t="s">
        <v>23</v>
      </c>
      <c r="J395" t="s">
        <v>101</v>
      </c>
      <c r="K395" t="s">
        <v>36</v>
      </c>
      <c r="L395">
        <v>94122</v>
      </c>
      <c r="M395" t="s">
        <v>37</v>
      </c>
      <c r="N395" t="s">
        <v>226</v>
      </c>
      <c r="O395" t="s">
        <v>28</v>
      </c>
      <c r="P395" t="s">
        <v>119</v>
      </c>
      <c r="Q395" t="s">
        <v>227</v>
      </c>
      <c r="R395">
        <v>194848</v>
      </c>
    </row>
    <row r="396" spans="1:18" x14ac:dyDescent="0.3">
      <c r="A396" t="s">
        <v>1964</v>
      </c>
      <c r="B396" s="1">
        <v>43371</v>
      </c>
      <c r="C396" s="1">
        <v>43373</v>
      </c>
      <c r="D396" s="1">
        <v>43344</v>
      </c>
      <c r="E396" t="s">
        <v>19</v>
      </c>
      <c r="F396" t="s">
        <v>1965</v>
      </c>
      <c r="G396" t="s">
        <v>1966</v>
      </c>
      <c r="H396" t="s">
        <v>22</v>
      </c>
      <c r="I396" t="s">
        <v>23</v>
      </c>
      <c r="J396" t="s">
        <v>1967</v>
      </c>
      <c r="K396" t="s">
        <v>78</v>
      </c>
      <c r="L396">
        <v>78521</v>
      </c>
      <c r="M396" t="s">
        <v>79</v>
      </c>
      <c r="N396" t="s">
        <v>1968</v>
      </c>
      <c r="O396" t="s">
        <v>39</v>
      </c>
      <c r="P396" t="s">
        <v>1264</v>
      </c>
      <c r="Q396" t="s">
        <v>1969</v>
      </c>
      <c r="R396">
        <v>1744</v>
      </c>
    </row>
    <row r="397" spans="1:18" x14ac:dyDescent="0.3">
      <c r="A397" t="s">
        <v>1970</v>
      </c>
      <c r="B397" s="1">
        <v>42576</v>
      </c>
      <c r="C397" s="1">
        <v>42580</v>
      </c>
      <c r="D397" s="1">
        <v>42552</v>
      </c>
      <c r="E397" t="s">
        <v>43</v>
      </c>
      <c r="F397" t="s">
        <v>999</v>
      </c>
      <c r="G397" t="s">
        <v>1000</v>
      </c>
      <c r="H397" t="s">
        <v>76</v>
      </c>
      <c r="I397" t="s">
        <v>23</v>
      </c>
      <c r="J397" t="s">
        <v>115</v>
      </c>
      <c r="K397" t="s">
        <v>116</v>
      </c>
      <c r="L397">
        <v>19143</v>
      </c>
      <c r="M397" t="s">
        <v>117</v>
      </c>
      <c r="N397" t="s">
        <v>1971</v>
      </c>
      <c r="O397" t="s">
        <v>39</v>
      </c>
      <c r="P397" t="s">
        <v>71</v>
      </c>
      <c r="Q397" t="s">
        <v>1972</v>
      </c>
      <c r="R397">
        <v>25176</v>
      </c>
    </row>
    <row r="398" spans="1:18" x14ac:dyDescent="0.3">
      <c r="A398" t="s">
        <v>1973</v>
      </c>
      <c r="B398" s="1">
        <v>43051</v>
      </c>
      <c r="C398" s="1">
        <v>43058</v>
      </c>
      <c r="D398" s="1">
        <v>43040</v>
      </c>
      <c r="E398" t="s">
        <v>43</v>
      </c>
      <c r="F398" t="s">
        <v>1974</v>
      </c>
      <c r="G398" t="s">
        <v>1975</v>
      </c>
      <c r="H398" t="s">
        <v>22</v>
      </c>
      <c r="I398" t="s">
        <v>23</v>
      </c>
      <c r="J398" t="s">
        <v>1186</v>
      </c>
      <c r="K398" t="s">
        <v>232</v>
      </c>
      <c r="L398">
        <v>85204</v>
      </c>
      <c r="M398" t="s">
        <v>37</v>
      </c>
      <c r="N398" t="s">
        <v>1976</v>
      </c>
      <c r="O398" t="s">
        <v>39</v>
      </c>
      <c r="P398" t="s">
        <v>71</v>
      </c>
      <c r="Q398" t="s">
        <v>1977</v>
      </c>
      <c r="R398">
        <v>627</v>
      </c>
    </row>
    <row r="399" spans="1:18" x14ac:dyDescent="0.3">
      <c r="A399" t="s">
        <v>1978</v>
      </c>
      <c r="B399" s="1">
        <v>43366</v>
      </c>
      <c r="C399" s="1">
        <v>43368</v>
      </c>
      <c r="D399" s="1">
        <v>43344</v>
      </c>
      <c r="E399" t="s">
        <v>19</v>
      </c>
      <c r="F399" t="s">
        <v>1979</v>
      </c>
      <c r="G399" t="s">
        <v>1980</v>
      </c>
      <c r="H399" t="s">
        <v>22</v>
      </c>
      <c r="I399" t="s">
        <v>23</v>
      </c>
      <c r="J399" t="s">
        <v>68</v>
      </c>
      <c r="K399" t="s">
        <v>69</v>
      </c>
      <c r="L399">
        <v>98105</v>
      </c>
      <c r="M399" t="s">
        <v>37</v>
      </c>
      <c r="N399" t="s">
        <v>1981</v>
      </c>
      <c r="O399" t="s">
        <v>39</v>
      </c>
      <c r="P399" t="s">
        <v>81</v>
      </c>
      <c r="Q399" t="s">
        <v>1982</v>
      </c>
      <c r="R399">
        <v>11996</v>
      </c>
    </row>
    <row r="400" spans="1:18" x14ac:dyDescent="0.3">
      <c r="A400" t="s">
        <v>1983</v>
      </c>
      <c r="B400" s="1">
        <v>42795</v>
      </c>
      <c r="C400" s="1">
        <v>42799</v>
      </c>
      <c r="D400" s="1">
        <v>42795</v>
      </c>
      <c r="E400" t="s">
        <v>43</v>
      </c>
      <c r="F400" t="s">
        <v>236</v>
      </c>
      <c r="G400" t="s">
        <v>237</v>
      </c>
      <c r="H400" t="s">
        <v>22</v>
      </c>
      <c r="I400" t="s">
        <v>23</v>
      </c>
      <c r="J400" t="s">
        <v>1984</v>
      </c>
      <c r="K400" t="s">
        <v>207</v>
      </c>
      <c r="L400">
        <v>10701</v>
      </c>
      <c r="M400" t="s">
        <v>117</v>
      </c>
      <c r="N400" t="s">
        <v>1985</v>
      </c>
      <c r="O400" t="s">
        <v>28</v>
      </c>
      <c r="P400" t="s">
        <v>49</v>
      </c>
      <c r="Q400" t="s">
        <v>1986</v>
      </c>
      <c r="R400">
        <v>836592</v>
      </c>
    </row>
    <row r="401" spans="1:18" x14ac:dyDescent="0.3">
      <c r="A401" t="s">
        <v>1987</v>
      </c>
      <c r="B401" s="1">
        <v>42959</v>
      </c>
      <c r="C401" s="1">
        <v>42959</v>
      </c>
      <c r="D401" s="1">
        <v>42948</v>
      </c>
      <c r="E401" t="s">
        <v>857</v>
      </c>
      <c r="F401" t="s">
        <v>343</v>
      </c>
      <c r="G401" t="s">
        <v>344</v>
      </c>
      <c r="H401" t="s">
        <v>22</v>
      </c>
      <c r="I401" t="s">
        <v>23</v>
      </c>
      <c r="J401" t="s">
        <v>921</v>
      </c>
      <c r="K401" t="s">
        <v>370</v>
      </c>
      <c r="L401">
        <v>50315</v>
      </c>
      <c r="M401" t="s">
        <v>79</v>
      </c>
      <c r="N401" t="s">
        <v>1988</v>
      </c>
      <c r="O401" t="s">
        <v>39</v>
      </c>
      <c r="P401" t="s">
        <v>63</v>
      </c>
      <c r="Q401" t="s">
        <v>1989</v>
      </c>
      <c r="R401">
        <v>648</v>
      </c>
    </row>
    <row r="402" spans="1:18" x14ac:dyDescent="0.3">
      <c r="A402" t="s">
        <v>1990</v>
      </c>
      <c r="B402" s="1">
        <v>43255</v>
      </c>
      <c r="C402" s="1">
        <v>43261</v>
      </c>
      <c r="D402" s="1">
        <v>43252</v>
      </c>
      <c r="E402" t="s">
        <v>43</v>
      </c>
      <c r="F402" t="s">
        <v>1991</v>
      </c>
      <c r="G402" t="s">
        <v>1992</v>
      </c>
      <c r="H402" t="s">
        <v>34</v>
      </c>
      <c r="I402" t="s">
        <v>23</v>
      </c>
      <c r="J402" t="s">
        <v>531</v>
      </c>
      <c r="K402" t="s">
        <v>61</v>
      </c>
      <c r="L402">
        <v>28110</v>
      </c>
      <c r="M402" t="s">
        <v>26</v>
      </c>
      <c r="N402" t="s">
        <v>789</v>
      </c>
      <c r="O402" t="s">
        <v>28</v>
      </c>
      <c r="P402" t="s">
        <v>55</v>
      </c>
      <c r="Q402" t="s">
        <v>790</v>
      </c>
      <c r="R402">
        <v>31984</v>
      </c>
    </row>
    <row r="403" spans="1:18" x14ac:dyDescent="0.3">
      <c r="A403" t="s">
        <v>1993</v>
      </c>
      <c r="B403" s="1">
        <v>42710</v>
      </c>
      <c r="C403" s="1">
        <v>42717</v>
      </c>
      <c r="D403" s="1">
        <v>42705</v>
      </c>
      <c r="E403" t="s">
        <v>43</v>
      </c>
      <c r="F403" t="s">
        <v>1414</v>
      </c>
      <c r="G403" t="s">
        <v>1415</v>
      </c>
      <c r="H403" t="s">
        <v>22</v>
      </c>
      <c r="I403" t="s">
        <v>23</v>
      </c>
      <c r="J403" t="s">
        <v>663</v>
      </c>
      <c r="K403" t="s">
        <v>36</v>
      </c>
      <c r="L403">
        <v>92105</v>
      </c>
      <c r="M403" t="s">
        <v>37</v>
      </c>
      <c r="N403" t="s">
        <v>1994</v>
      </c>
      <c r="O403" t="s">
        <v>39</v>
      </c>
      <c r="P403" t="s">
        <v>103</v>
      </c>
      <c r="Q403" t="s">
        <v>1995</v>
      </c>
      <c r="R403">
        <v>12015</v>
      </c>
    </row>
    <row r="404" spans="1:18" x14ac:dyDescent="0.3">
      <c r="A404" t="s">
        <v>1996</v>
      </c>
      <c r="B404" s="1">
        <v>42180</v>
      </c>
      <c r="C404" s="1">
        <v>42183</v>
      </c>
      <c r="D404" s="1">
        <v>42156</v>
      </c>
      <c r="E404" t="s">
        <v>142</v>
      </c>
      <c r="F404" t="s">
        <v>1997</v>
      </c>
      <c r="G404" t="s">
        <v>1998</v>
      </c>
      <c r="H404" t="s">
        <v>34</v>
      </c>
      <c r="I404" t="s">
        <v>23</v>
      </c>
      <c r="J404" t="s">
        <v>35</v>
      </c>
      <c r="K404" t="s">
        <v>36</v>
      </c>
      <c r="L404">
        <v>90049</v>
      </c>
      <c r="M404" t="s">
        <v>37</v>
      </c>
      <c r="N404" t="s">
        <v>1999</v>
      </c>
      <c r="O404" t="s">
        <v>28</v>
      </c>
      <c r="P404" t="s">
        <v>49</v>
      </c>
      <c r="Q404" t="s">
        <v>2000</v>
      </c>
      <c r="R404">
        <v>44784</v>
      </c>
    </row>
    <row r="405" spans="1:18" x14ac:dyDescent="0.3">
      <c r="A405" t="s">
        <v>2001</v>
      </c>
      <c r="B405" s="1">
        <v>42900</v>
      </c>
      <c r="C405" s="1">
        <v>42903</v>
      </c>
      <c r="D405" s="1">
        <v>42887</v>
      </c>
      <c r="E405" t="s">
        <v>142</v>
      </c>
      <c r="F405" t="s">
        <v>2002</v>
      </c>
      <c r="G405" t="s">
        <v>2003</v>
      </c>
      <c r="H405" t="s">
        <v>76</v>
      </c>
      <c r="I405" t="s">
        <v>23</v>
      </c>
      <c r="J405" t="s">
        <v>101</v>
      </c>
      <c r="K405" t="s">
        <v>36</v>
      </c>
      <c r="L405">
        <v>94122</v>
      </c>
      <c r="M405" t="s">
        <v>37</v>
      </c>
      <c r="N405" t="s">
        <v>2004</v>
      </c>
      <c r="O405" t="s">
        <v>39</v>
      </c>
      <c r="P405" t="s">
        <v>103</v>
      </c>
      <c r="Q405" t="s">
        <v>2005</v>
      </c>
      <c r="R405">
        <v>704</v>
      </c>
    </row>
    <row r="406" spans="1:18" x14ac:dyDescent="0.3">
      <c r="A406" t="s">
        <v>2006</v>
      </c>
      <c r="B406" s="1">
        <v>43452</v>
      </c>
      <c r="C406" s="1">
        <v>43457</v>
      </c>
      <c r="D406" s="1">
        <v>43435</v>
      </c>
      <c r="E406" t="s">
        <v>19</v>
      </c>
      <c r="F406" t="s">
        <v>887</v>
      </c>
      <c r="G406" t="s">
        <v>888</v>
      </c>
      <c r="H406" t="s">
        <v>22</v>
      </c>
      <c r="I406" t="s">
        <v>23</v>
      </c>
      <c r="J406" t="s">
        <v>2007</v>
      </c>
      <c r="K406" t="s">
        <v>36</v>
      </c>
      <c r="L406">
        <v>92024</v>
      </c>
      <c r="M406" t="s">
        <v>37</v>
      </c>
      <c r="N406" t="s">
        <v>2008</v>
      </c>
      <c r="O406" t="s">
        <v>39</v>
      </c>
      <c r="P406" t="s">
        <v>71</v>
      </c>
      <c r="Q406" t="s">
        <v>2009</v>
      </c>
      <c r="R406">
        <v>46672</v>
      </c>
    </row>
    <row r="407" spans="1:18" x14ac:dyDescent="0.3">
      <c r="A407" t="s">
        <v>2010</v>
      </c>
      <c r="B407" s="1">
        <v>42938</v>
      </c>
      <c r="C407" s="1">
        <v>42940</v>
      </c>
      <c r="D407" s="1">
        <v>42917</v>
      </c>
      <c r="E407" t="s">
        <v>19</v>
      </c>
      <c r="F407" t="s">
        <v>2011</v>
      </c>
      <c r="G407" t="s">
        <v>2012</v>
      </c>
      <c r="H407" t="s">
        <v>34</v>
      </c>
      <c r="I407" t="s">
        <v>23</v>
      </c>
      <c r="J407" t="s">
        <v>101</v>
      </c>
      <c r="K407" t="s">
        <v>36</v>
      </c>
      <c r="L407">
        <v>94110</v>
      </c>
      <c r="M407" t="s">
        <v>37</v>
      </c>
      <c r="N407" t="s">
        <v>2013</v>
      </c>
      <c r="O407" t="s">
        <v>39</v>
      </c>
      <c r="P407" t="s">
        <v>40</v>
      </c>
      <c r="Q407" t="s">
        <v>2014</v>
      </c>
      <c r="R407">
        <v>63</v>
      </c>
    </row>
    <row r="408" spans="1:18" x14ac:dyDescent="0.3">
      <c r="A408" t="s">
        <v>2015</v>
      </c>
      <c r="B408" s="1">
        <v>42617</v>
      </c>
      <c r="C408" s="1">
        <v>42621</v>
      </c>
      <c r="D408" s="1">
        <v>42614</v>
      </c>
      <c r="E408" t="s">
        <v>43</v>
      </c>
      <c r="F408" t="s">
        <v>2016</v>
      </c>
      <c r="G408" t="s">
        <v>2017</v>
      </c>
      <c r="H408" t="s">
        <v>22</v>
      </c>
      <c r="I408" t="s">
        <v>23</v>
      </c>
      <c r="J408" t="s">
        <v>2018</v>
      </c>
      <c r="K408" t="s">
        <v>845</v>
      </c>
      <c r="L408">
        <v>30076</v>
      </c>
      <c r="M408" t="s">
        <v>26</v>
      </c>
      <c r="N408" t="s">
        <v>2019</v>
      </c>
      <c r="O408" t="s">
        <v>39</v>
      </c>
      <c r="P408" t="s">
        <v>63</v>
      </c>
      <c r="Q408" t="s">
        <v>2020</v>
      </c>
      <c r="R408">
        <v>2799</v>
      </c>
    </row>
    <row r="409" spans="1:18" x14ac:dyDescent="0.3">
      <c r="A409" t="s">
        <v>2021</v>
      </c>
      <c r="B409" s="1">
        <v>42024</v>
      </c>
      <c r="C409" s="1">
        <v>42030</v>
      </c>
      <c r="D409" s="1">
        <v>42005</v>
      </c>
      <c r="E409" t="s">
        <v>43</v>
      </c>
      <c r="F409" t="s">
        <v>1755</v>
      </c>
      <c r="G409" t="s">
        <v>1756</v>
      </c>
      <c r="H409" t="s">
        <v>22</v>
      </c>
      <c r="I409" t="s">
        <v>23</v>
      </c>
      <c r="J409" t="s">
        <v>2022</v>
      </c>
      <c r="K409" t="s">
        <v>2023</v>
      </c>
      <c r="L409">
        <v>72401</v>
      </c>
      <c r="M409" t="s">
        <v>26</v>
      </c>
      <c r="N409" t="s">
        <v>2024</v>
      </c>
      <c r="O409" t="s">
        <v>147</v>
      </c>
      <c r="P409" t="s">
        <v>148</v>
      </c>
      <c r="Q409" t="s">
        <v>2025</v>
      </c>
      <c r="R409">
        <v>69993</v>
      </c>
    </row>
    <row r="410" spans="1:18" x14ac:dyDescent="0.3">
      <c r="A410" t="s">
        <v>2026</v>
      </c>
      <c r="B410" s="1">
        <v>42837</v>
      </c>
      <c r="C410" s="1">
        <v>42841</v>
      </c>
      <c r="D410" s="1">
        <v>42826</v>
      </c>
      <c r="E410" t="s">
        <v>43</v>
      </c>
      <c r="F410" t="s">
        <v>1155</v>
      </c>
      <c r="G410" t="s">
        <v>1156</v>
      </c>
      <c r="H410" t="s">
        <v>22</v>
      </c>
      <c r="I410" t="s">
        <v>23</v>
      </c>
      <c r="J410" t="s">
        <v>238</v>
      </c>
      <c r="K410" t="s">
        <v>239</v>
      </c>
      <c r="L410">
        <v>22153</v>
      </c>
      <c r="M410" t="s">
        <v>26</v>
      </c>
      <c r="N410" t="s">
        <v>2027</v>
      </c>
      <c r="O410" t="s">
        <v>28</v>
      </c>
      <c r="P410" t="s">
        <v>49</v>
      </c>
      <c r="Q410" t="s">
        <v>2028</v>
      </c>
      <c r="R410">
        <v>34392</v>
      </c>
    </row>
    <row r="411" spans="1:18" x14ac:dyDescent="0.3">
      <c r="A411" t="s">
        <v>2029</v>
      </c>
      <c r="B411" s="1">
        <v>43075</v>
      </c>
      <c r="C411" s="1">
        <v>43076</v>
      </c>
      <c r="D411" s="1">
        <v>43070</v>
      </c>
      <c r="E411" t="s">
        <v>142</v>
      </c>
      <c r="F411" t="s">
        <v>386</v>
      </c>
      <c r="G411" t="s">
        <v>387</v>
      </c>
      <c r="H411" t="s">
        <v>34</v>
      </c>
      <c r="I411" t="s">
        <v>23</v>
      </c>
      <c r="J411" t="s">
        <v>2030</v>
      </c>
      <c r="K411" t="s">
        <v>36</v>
      </c>
      <c r="L411">
        <v>94509</v>
      </c>
      <c r="M411" t="s">
        <v>37</v>
      </c>
      <c r="N411" t="s">
        <v>2031</v>
      </c>
      <c r="O411" t="s">
        <v>39</v>
      </c>
      <c r="P411" t="s">
        <v>63</v>
      </c>
      <c r="Q411" t="s">
        <v>2032</v>
      </c>
      <c r="R411">
        <v>1944</v>
      </c>
    </row>
    <row r="412" spans="1:18" x14ac:dyDescent="0.3">
      <c r="A412" t="s">
        <v>2033</v>
      </c>
      <c r="B412" s="1">
        <v>42891</v>
      </c>
      <c r="C412" s="1">
        <v>42895</v>
      </c>
      <c r="D412" s="1">
        <v>42887</v>
      </c>
      <c r="E412" t="s">
        <v>43</v>
      </c>
      <c r="F412" t="s">
        <v>1053</v>
      </c>
      <c r="G412" t="s">
        <v>1054</v>
      </c>
      <c r="H412" t="s">
        <v>76</v>
      </c>
      <c r="I412" t="s">
        <v>23</v>
      </c>
      <c r="J412" t="s">
        <v>115</v>
      </c>
      <c r="K412" t="s">
        <v>116</v>
      </c>
      <c r="L412">
        <v>19134</v>
      </c>
      <c r="M412" t="s">
        <v>117</v>
      </c>
      <c r="N412" t="s">
        <v>166</v>
      </c>
      <c r="O412" t="s">
        <v>39</v>
      </c>
      <c r="P412" t="s">
        <v>89</v>
      </c>
      <c r="Q412" t="s">
        <v>167</v>
      </c>
      <c r="R412">
        <v>124608</v>
      </c>
    </row>
    <row r="413" spans="1:18" x14ac:dyDescent="0.3">
      <c r="A413" t="s">
        <v>2034</v>
      </c>
      <c r="B413" s="1">
        <v>42276</v>
      </c>
      <c r="C413" s="1">
        <v>42280</v>
      </c>
      <c r="D413" s="1">
        <v>42248</v>
      </c>
      <c r="E413" t="s">
        <v>43</v>
      </c>
      <c r="F413" t="s">
        <v>2035</v>
      </c>
      <c r="G413" t="s">
        <v>2036</v>
      </c>
      <c r="H413" t="s">
        <v>22</v>
      </c>
      <c r="I413" t="s">
        <v>23</v>
      </c>
      <c r="J413" t="s">
        <v>35</v>
      </c>
      <c r="K413" t="s">
        <v>36</v>
      </c>
      <c r="L413">
        <v>90045</v>
      </c>
      <c r="M413" t="s">
        <v>37</v>
      </c>
      <c r="N413" t="s">
        <v>1831</v>
      </c>
      <c r="O413" t="s">
        <v>28</v>
      </c>
      <c r="P413" t="s">
        <v>55</v>
      </c>
      <c r="Q413" t="s">
        <v>1832</v>
      </c>
      <c r="R413">
        <v>2046</v>
      </c>
    </row>
    <row r="414" spans="1:18" x14ac:dyDescent="0.3">
      <c r="A414" t="s">
        <v>2037</v>
      </c>
      <c r="B414" s="1">
        <v>42498</v>
      </c>
      <c r="C414" s="1">
        <v>42504</v>
      </c>
      <c r="D414" s="1">
        <v>42491</v>
      </c>
      <c r="E414" t="s">
        <v>43</v>
      </c>
      <c r="F414" t="s">
        <v>694</v>
      </c>
      <c r="G414" t="s">
        <v>695</v>
      </c>
      <c r="H414" t="s">
        <v>34</v>
      </c>
      <c r="I414" t="s">
        <v>23</v>
      </c>
      <c r="J414" t="s">
        <v>2038</v>
      </c>
      <c r="K414" t="s">
        <v>377</v>
      </c>
      <c r="L414">
        <v>44221</v>
      </c>
      <c r="M414" t="s">
        <v>117</v>
      </c>
      <c r="N414" t="s">
        <v>2039</v>
      </c>
      <c r="O414" t="s">
        <v>28</v>
      </c>
      <c r="P414" t="s">
        <v>55</v>
      </c>
      <c r="Q414" t="s">
        <v>2040</v>
      </c>
      <c r="R414">
        <v>8352</v>
      </c>
    </row>
    <row r="415" spans="1:18" x14ac:dyDescent="0.3">
      <c r="A415" t="s">
        <v>2041</v>
      </c>
      <c r="B415" s="1">
        <v>43100</v>
      </c>
      <c r="C415" s="1">
        <v>43106</v>
      </c>
      <c r="D415" s="1">
        <v>43070</v>
      </c>
      <c r="E415" t="s">
        <v>43</v>
      </c>
      <c r="F415" t="s">
        <v>1779</v>
      </c>
      <c r="G415" t="s">
        <v>1780</v>
      </c>
      <c r="H415" t="s">
        <v>34</v>
      </c>
      <c r="I415" t="s">
        <v>23</v>
      </c>
      <c r="J415" t="s">
        <v>2042</v>
      </c>
      <c r="K415" t="s">
        <v>934</v>
      </c>
      <c r="L415">
        <v>89502</v>
      </c>
      <c r="M415" t="s">
        <v>37</v>
      </c>
      <c r="N415" t="s">
        <v>2043</v>
      </c>
      <c r="O415" t="s">
        <v>39</v>
      </c>
      <c r="P415" t="s">
        <v>103</v>
      </c>
      <c r="Q415" t="s">
        <v>2044</v>
      </c>
      <c r="R415">
        <v>364</v>
      </c>
    </row>
    <row r="416" spans="1:18" x14ac:dyDescent="0.3">
      <c r="A416" t="s">
        <v>2045</v>
      </c>
      <c r="B416" s="1">
        <v>42358</v>
      </c>
      <c r="C416" s="1">
        <v>42359</v>
      </c>
      <c r="D416" s="1">
        <v>42339</v>
      </c>
      <c r="E416" t="s">
        <v>142</v>
      </c>
      <c r="F416" t="s">
        <v>2046</v>
      </c>
      <c r="G416" t="s">
        <v>2047</v>
      </c>
      <c r="H416" t="s">
        <v>76</v>
      </c>
      <c r="I416" t="s">
        <v>23</v>
      </c>
      <c r="J416" t="s">
        <v>2048</v>
      </c>
      <c r="K416" t="s">
        <v>239</v>
      </c>
      <c r="L416">
        <v>22801</v>
      </c>
      <c r="M416" t="s">
        <v>26</v>
      </c>
      <c r="N416" t="s">
        <v>2049</v>
      </c>
      <c r="O416" t="s">
        <v>39</v>
      </c>
      <c r="P416" t="s">
        <v>89</v>
      </c>
      <c r="Q416" t="s">
        <v>2050</v>
      </c>
      <c r="R416">
        <v>12248</v>
      </c>
    </row>
    <row r="417" spans="1:18" x14ac:dyDescent="0.3">
      <c r="A417" t="s">
        <v>2051</v>
      </c>
      <c r="B417" s="1">
        <v>42918</v>
      </c>
      <c r="C417" s="1">
        <v>42923</v>
      </c>
      <c r="D417" s="1">
        <v>42917</v>
      </c>
      <c r="E417" t="s">
        <v>19</v>
      </c>
      <c r="F417" t="s">
        <v>1762</v>
      </c>
      <c r="G417" t="s">
        <v>1763</v>
      </c>
      <c r="H417" t="s">
        <v>34</v>
      </c>
      <c r="I417" t="s">
        <v>23</v>
      </c>
      <c r="J417" t="s">
        <v>35</v>
      </c>
      <c r="K417" t="s">
        <v>36</v>
      </c>
      <c r="L417">
        <v>90004</v>
      </c>
      <c r="M417" t="s">
        <v>37</v>
      </c>
      <c r="N417" t="s">
        <v>2052</v>
      </c>
      <c r="O417" t="s">
        <v>28</v>
      </c>
      <c r="P417" t="s">
        <v>119</v>
      </c>
      <c r="Q417" t="s">
        <v>2053</v>
      </c>
      <c r="R417">
        <v>195184</v>
      </c>
    </row>
    <row r="418" spans="1:18" x14ac:dyDescent="0.3">
      <c r="A418" t="s">
        <v>2054</v>
      </c>
      <c r="B418" s="1">
        <v>42248</v>
      </c>
      <c r="C418" s="1">
        <v>42252</v>
      </c>
      <c r="D418" s="1">
        <v>42248</v>
      </c>
      <c r="E418" t="s">
        <v>19</v>
      </c>
      <c r="F418" t="s">
        <v>2055</v>
      </c>
      <c r="G418" t="s">
        <v>2056</v>
      </c>
      <c r="H418" t="s">
        <v>22</v>
      </c>
      <c r="I418" t="s">
        <v>23</v>
      </c>
      <c r="J418" t="s">
        <v>2057</v>
      </c>
      <c r="K418" t="s">
        <v>36</v>
      </c>
      <c r="L418">
        <v>92025</v>
      </c>
      <c r="M418" t="s">
        <v>37</v>
      </c>
      <c r="N418" t="s">
        <v>2058</v>
      </c>
      <c r="O418" t="s">
        <v>39</v>
      </c>
      <c r="P418" t="s">
        <v>103</v>
      </c>
      <c r="Q418" t="s">
        <v>2059</v>
      </c>
      <c r="R418">
        <v>5394</v>
      </c>
    </row>
    <row r="419" spans="1:18" x14ac:dyDescent="0.3">
      <c r="A419" t="s">
        <v>2060</v>
      </c>
      <c r="B419" s="1">
        <v>42128</v>
      </c>
      <c r="C419" s="1">
        <v>42132</v>
      </c>
      <c r="D419" s="1">
        <v>42125</v>
      </c>
      <c r="E419" t="s">
        <v>43</v>
      </c>
      <c r="F419" t="s">
        <v>2061</v>
      </c>
      <c r="G419" t="s">
        <v>2062</v>
      </c>
      <c r="H419" t="s">
        <v>22</v>
      </c>
      <c r="I419" t="s">
        <v>23</v>
      </c>
      <c r="J419" t="s">
        <v>248</v>
      </c>
      <c r="K419" t="s">
        <v>186</v>
      </c>
      <c r="L419">
        <v>49201</v>
      </c>
      <c r="M419" t="s">
        <v>79</v>
      </c>
      <c r="N419" t="s">
        <v>2063</v>
      </c>
      <c r="O419" t="s">
        <v>39</v>
      </c>
      <c r="P419" t="s">
        <v>71</v>
      </c>
      <c r="Q419" t="s">
        <v>2064</v>
      </c>
      <c r="R419">
        <v>468</v>
      </c>
    </row>
    <row r="420" spans="1:18" x14ac:dyDescent="0.3">
      <c r="A420" t="s">
        <v>2065</v>
      </c>
      <c r="B420" s="1">
        <v>42073</v>
      </c>
      <c r="C420" s="1">
        <v>42077</v>
      </c>
      <c r="D420" s="1">
        <v>42064</v>
      </c>
      <c r="E420" t="s">
        <v>43</v>
      </c>
      <c r="F420" t="s">
        <v>2066</v>
      </c>
      <c r="G420" t="s">
        <v>2067</v>
      </c>
      <c r="H420" t="s">
        <v>22</v>
      </c>
      <c r="I420" t="s">
        <v>23</v>
      </c>
      <c r="J420" t="s">
        <v>2068</v>
      </c>
      <c r="K420" t="s">
        <v>186</v>
      </c>
      <c r="L420">
        <v>48073</v>
      </c>
      <c r="M420" t="s">
        <v>79</v>
      </c>
      <c r="N420" t="s">
        <v>2069</v>
      </c>
      <c r="O420" t="s">
        <v>39</v>
      </c>
      <c r="P420" t="s">
        <v>63</v>
      </c>
      <c r="Q420" t="s">
        <v>2070</v>
      </c>
      <c r="R420">
        <v>2238</v>
      </c>
    </row>
    <row r="421" spans="1:18" x14ac:dyDescent="0.3">
      <c r="A421" t="s">
        <v>2071</v>
      </c>
      <c r="B421" s="1">
        <v>42115</v>
      </c>
      <c r="C421" s="1">
        <v>42119</v>
      </c>
      <c r="D421" s="1">
        <v>42095</v>
      </c>
      <c r="E421" t="s">
        <v>43</v>
      </c>
      <c r="F421" t="s">
        <v>1184</v>
      </c>
      <c r="G421" t="s">
        <v>1185</v>
      </c>
      <c r="H421" t="s">
        <v>22</v>
      </c>
      <c r="I421" t="s">
        <v>23</v>
      </c>
      <c r="J421" t="s">
        <v>35</v>
      </c>
      <c r="K421" t="s">
        <v>36</v>
      </c>
      <c r="L421">
        <v>90008</v>
      </c>
      <c r="M421" t="s">
        <v>37</v>
      </c>
      <c r="N421" t="s">
        <v>2072</v>
      </c>
      <c r="O421" t="s">
        <v>39</v>
      </c>
      <c r="P421" t="s">
        <v>71</v>
      </c>
      <c r="Q421" t="s">
        <v>2073</v>
      </c>
      <c r="R421">
        <v>1652</v>
      </c>
    </row>
    <row r="422" spans="1:18" x14ac:dyDescent="0.3">
      <c r="A422" t="s">
        <v>2074</v>
      </c>
      <c r="B422" s="1">
        <v>42665</v>
      </c>
      <c r="C422" s="1">
        <v>42669</v>
      </c>
      <c r="D422" s="1">
        <v>42644</v>
      </c>
      <c r="E422" t="s">
        <v>43</v>
      </c>
      <c r="F422" t="s">
        <v>1571</v>
      </c>
      <c r="G422" t="s">
        <v>1572</v>
      </c>
      <c r="H422" t="s">
        <v>22</v>
      </c>
      <c r="I422" t="s">
        <v>23</v>
      </c>
      <c r="J422" t="s">
        <v>399</v>
      </c>
      <c r="K422" t="s">
        <v>160</v>
      </c>
      <c r="L422">
        <v>61701</v>
      </c>
      <c r="M422" t="s">
        <v>79</v>
      </c>
      <c r="N422" t="s">
        <v>2075</v>
      </c>
      <c r="O422" t="s">
        <v>39</v>
      </c>
      <c r="P422" t="s">
        <v>71</v>
      </c>
      <c r="Q422" t="s">
        <v>2076</v>
      </c>
      <c r="R422">
        <v>5176</v>
      </c>
    </row>
    <row r="423" spans="1:18" x14ac:dyDescent="0.3">
      <c r="A423" t="s">
        <v>2077</v>
      </c>
      <c r="B423" s="1">
        <v>42604</v>
      </c>
      <c r="C423" s="1">
        <v>42607</v>
      </c>
      <c r="D423" s="1">
        <v>42583</v>
      </c>
      <c r="E423" t="s">
        <v>142</v>
      </c>
      <c r="F423" t="s">
        <v>2078</v>
      </c>
      <c r="G423" t="s">
        <v>2079</v>
      </c>
      <c r="H423" t="s">
        <v>34</v>
      </c>
      <c r="I423" t="s">
        <v>23</v>
      </c>
      <c r="J423" t="s">
        <v>206</v>
      </c>
      <c r="K423" t="s">
        <v>207</v>
      </c>
      <c r="L423">
        <v>10035</v>
      </c>
      <c r="M423" t="s">
        <v>117</v>
      </c>
      <c r="N423" t="s">
        <v>2080</v>
      </c>
      <c r="O423" t="s">
        <v>39</v>
      </c>
      <c r="P423" t="s">
        <v>71</v>
      </c>
      <c r="Q423" t="s">
        <v>2081</v>
      </c>
      <c r="R423">
        <v>50112</v>
      </c>
    </row>
    <row r="424" spans="1:18" x14ac:dyDescent="0.3">
      <c r="A424" t="s">
        <v>2082</v>
      </c>
      <c r="B424" s="1">
        <v>42365</v>
      </c>
      <c r="C424" s="1">
        <v>42368</v>
      </c>
      <c r="D424" s="1">
        <v>42339</v>
      </c>
      <c r="E424" t="s">
        <v>19</v>
      </c>
      <c r="F424" t="s">
        <v>2083</v>
      </c>
      <c r="G424" t="s">
        <v>2084</v>
      </c>
      <c r="H424" t="s">
        <v>76</v>
      </c>
      <c r="I424" t="s">
        <v>23</v>
      </c>
      <c r="J424" t="s">
        <v>35</v>
      </c>
      <c r="K424" t="s">
        <v>36</v>
      </c>
      <c r="L424">
        <v>90004</v>
      </c>
      <c r="M424" t="s">
        <v>37</v>
      </c>
      <c r="N424" t="s">
        <v>2085</v>
      </c>
      <c r="O424" t="s">
        <v>39</v>
      </c>
      <c r="P424" t="s">
        <v>40</v>
      </c>
      <c r="Q424" t="s">
        <v>2086</v>
      </c>
      <c r="R424">
        <v>1156</v>
      </c>
    </row>
    <row r="425" spans="1:18" x14ac:dyDescent="0.3">
      <c r="A425" t="s">
        <v>2087</v>
      </c>
      <c r="B425" s="1">
        <v>42849</v>
      </c>
      <c r="C425" s="1">
        <v>42852</v>
      </c>
      <c r="D425" s="1">
        <v>42826</v>
      </c>
      <c r="E425" t="s">
        <v>19</v>
      </c>
      <c r="F425" t="s">
        <v>2088</v>
      </c>
      <c r="G425" t="s">
        <v>2089</v>
      </c>
      <c r="H425" t="s">
        <v>76</v>
      </c>
      <c r="I425" t="s">
        <v>23</v>
      </c>
      <c r="J425" t="s">
        <v>138</v>
      </c>
      <c r="K425" t="s">
        <v>78</v>
      </c>
      <c r="L425">
        <v>77070</v>
      </c>
      <c r="M425" t="s">
        <v>79</v>
      </c>
      <c r="N425" t="s">
        <v>2090</v>
      </c>
      <c r="O425" t="s">
        <v>147</v>
      </c>
      <c r="P425" t="s">
        <v>180</v>
      </c>
      <c r="Q425" t="s">
        <v>2091</v>
      </c>
      <c r="R425">
        <v>258696</v>
      </c>
    </row>
    <row r="426" spans="1:18" x14ac:dyDescent="0.3">
      <c r="A426" t="s">
        <v>2092</v>
      </c>
      <c r="B426" s="1">
        <v>43114</v>
      </c>
      <c r="C426" s="1">
        <v>43115</v>
      </c>
      <c r="D426" s="1">
        <v>43101</v>
      </c>
      <c r="E426" t="s">
        <v>142</v>
      </c>
      <c r="F426" t="s">
        <v>1387</v>
      </c>
      <c r="G426" t="s">
        <v>1388</v>
      </c>
      <c r="H426" t="s">
        <v>22</v>
      </c>
      <c r="I426" t="s">
        <v>23</v>
      </c>
      <c r="J426" t="s">
        <v>1007</v>
      </c>
      <c r="K426" t="s">
        <v>61</v>
      </c>
      <c r="L426">
        <v>28540</v>
      </c>
      <c r="M426" t="s">
        <v>26</v>
      </c>
      <c r="N426" t="s">
        <v>2093</v>
      </c>
      <c r="O426" t="s">
        <v>39</v>
      </c>
      <c r="P426" t="s">
        <v>154</v>
      </c>
      <c r="Q426" t="s">
        <v>2094</v>
      </c>
      <c r="R426">
        <v>21744</v>
      </c>
    </row>
    <row r="427" spans="1:18" x14ac:dyDescent="0.3">
      <c r="A427" t="s">
        <v>2095</v>
      </c>
      <c r="B427" s="1">
        <v>43157</v>
      </c>
      <c r="C427" s="1">
        <v>43159</v>
      </c>
      <c r="D427" s="1">
        <v>43132</v>
      </c>
      <c r="E427" t="s">
        <v>19</v>
      </c>
      <c r="F427" t="s">
        <v>2096</v>
      </c>
      <c r="G427" t="s">
        <v>2097</v>
      </c>
      <c r="H427" t="s">
        <v>76</v>
      </c>
      <c r="I427" t="s">
        <v>23</v>
      </c>
      <c r="J427" t="s">
        <v>35</v>
      </c>
      <c r="K427" t="s">
        <v>36</v>
      </c>
      <c r="L427">
        <v>90036</v>
      </c>
      <c r="M427" t="s">
        <v>37</v>
      </c>
      <c r="N427" t="s">
        <v>1389</v>
      </c>
      <c r="O427" t="s">
        <v>39</v>
      </c>
      <c r="P427" t="s">
        <v>81</v>
      </c>
      <c r="Q427" t="s">
        <v>1390</v>
      </c>
      <c r="R427">
        <v>8192</v>
      </c>
    </row>
    <row r="428" spans="1:18" x14ac:dyDescent="0.3">
      <c r="A428" t="s">
        <v>2098</v>
      </c>
      <c r="B428" s="1">
        <v>42628</v>
      </c>
      <c r="C428" s="1">
        <v>42628</v>
      </c>
      <c r="D428" s="1">
        <v>42614</v>
      </c>
      <c r="E428" t="s">
        <v>857</v>
      </c>
      <c r="F428" t="s">
        <v>1309</v>
      </c>
      <c r="G428" t="s">
        <v>1310</v>
      </c>
      <c r="H428" t="s">
        <v>34</v>
      </c>
      <c r="I428" t="s">
        <v>23</v>
      </c>
      <c r="J428" t="s">
        <v>2099</v>
      </c>
      <c r="K428" t="s">
        <v>47</v>
      </c>
      <c r="L428">
        <v>33065</v>
      </c>
      <c r="M428" t="s">
        <v>26</v>
      </c>
      <c r="N428" t="s">
        <v>2100</v>
      </c>
      <c r="O428" t="s">
        <v>39</v>
      </c>
      <c r="P428" t="s">
        <v>63</v>
      </c>
      <c r="Q428" t="s">
        <v>2101</v>
      </c>
      <c r="R428">
        <v>15552</v>
      </c>
    </row>
    <row r="429" spans="1:18" x14ac:dyDescent="0.3">
      <c r="A429" t="s">
        <v>2102</v>
      </c>
      <c r="B429" s="1">
        <v>42934</v>
      </c>
      <c r="C429" s="1">
        <v>42940</v>
      </c>
      <c r="D429" s="1">
        <v>42917</v>
      </c>
      <c r="E429" t="s">
        <v>43</v>
      </c>
      <c r="F429" t="s">
        <v>1679</v>
      </c>
      <c r="G429" t="s">
        <v>1680</v>
      </c>
      <c r="H429" t="s">
        <v>34</v>
      </c>
      <c r="I429" t="s">
        <v>23</v>
      </c>
      <c r="J429" t="s">
        <v>584</v>
      </c>
      <c r="K429" t="s">
        <v>346</v>
      </c>
      <c r="L429">
        <v>80219</v>
      </c>
      <c r="M429" t="s">
        <v>37</v>
      </c>
      <c r="N429" t="s">
        <v>1556</v>
      </c>
      <c r="O429" t="s">
        <v>28</v>
      </c>
      <c r="P429" t="s">
        <v>119</v>
      </c>
      <c r="Q429" t="s">
        <v>1557</v>
      </c>
      <c r="R429">
        <v>544008</v>
      </c>
    </row>
    <row r="430" spans="1:18" x14ac:dyDescent="0.3">
      <c r="A430" t="s">
        <v>2103</v>
      </c>
      <c r="B430" s="1">
        <v>43352</v>
      </c>
      <c r="C430" s="1">
        <v>43356</v>
      </c>
      <c r="D430" s="1">
        <v>43344</v>
      </c>
      <c r="E430" t="s">
        <v>43</v>
      </c>
      <c r="F430" t="s">
        <v>2104</v>
      </c>
      <c r="G430" t="s">
        <v>2105</v>
      </c>
      <c r="H430" t="s">
        <v>34</v>
      </c>
      <c r="I430" t="s">
        <v>23</v>
      </c>
      <c r="J430" t="s">
        <v>115</v>
      </c>
      <c r="K430" t="s">
        <v>116</v>
      </c>
      <c r="L430">
        <v>19134</v>
      </c>
      <c r="M430" t="s">
        <v>117</v>
      </c>
      <c r="N430" t="s">
        <v>634</v>
      </c>
      <c r="O430" t="s">
        <v>28</v>
      </c>
      <c r="P430" t="s">
        <v>119</v>
      </c>
      <c r="Q430" t="s">
        <v>635</v>
      </c>
      <c r="R430">
        <v>141372</v>
      </c>
    </row>
    <row r="431" spans="1:18" x14ac:dyDescent="0.3">
      <c r="A431" t="s">
        <v>2106</v>
      </c>
      <c r="B431" s="1">
        <v>43073</v>
      </c>
      <c r="C431" s="1">
        <v>43074</v>
      </c>
      <c r="D431" s="1">
        <v>43070</v>
      </c>
      <c r="E431" t="s">
        <v>142</v>
      </c>
      <c r="F431" t="s">
        <v>500</v>
      </c>
      <c r="G431" t="s">
        <v>501</v>
      </c>
      <c r="H431" t="s">
        <v>22</v>
      </c>
      <c r="I431" t="s">
        <v>23</v>
      </c>
      <c r="J431" t="s">
        <v>206</v>
      </c>
      <c r="K431" t="s">
        <v>207</v>
      </c>
      <c r="L431">
        <v>10024</v>
      </c>
      <c r="M431" t="s">
        <v>117</v>
      </c>
      <c r="N431" t="s">
        <v>2107</v>
      </c>
      <c r="O431" t="s">
        <v>28</v>
      </c>
      <c r="P431" t="s">
        <v>55</v>
      </c>
      <c r="Q431" t="s">
        <v>2108</v>
      </c>
      <c r="R431">
        <v>11379</v>
      </c>
    </row>
    <row r="432" spans="1:18" x14ac:dyDescent="0.3">
      <c r="A432" t="s">
        <v>2109</v>
      </c>
      <c r="B432" s="1">
        <v>42227</v>
      </c>
      <c r="C432" s="1">
        <v>42231</v>
      </c>
      <c r="D432" s="1">
        <v>42217</v>
      </c>
      <c r="E432" t="s">
        <v>43</v>
      </c>
      <c r="F432" t="s">
        <v>2110</v>
      </c>
      <c r="G432" t="s">
        <v>2111</v>
      </c>
      <c r="H432" t="s">
        <v>22</v>
      </c>
      <c r="I432" t="s">
        <v>23</v>
      </c>
      <c r="J432" t="s">
        <v>68</v>
      </c>
      <c r="K432" t="s">
        <v>69</v>
      </c>
      <c r="L432">
        <v>98105</v>
      </c>
      <c r="M432" t="s">
        <v>37</v>
      </c>
      <c r="N432" t="s">
        <v>2112</v>
      </c>
      <c r="O432" t="s">
        <v>28</v>
      </c>
      <c r="P432" t="s">
        <v>55</v>
      </c>
      <c r="Q432" t="s">
        <v>2113</v>
      </c>
      <c r="R432">
        <v>1235</v>
      </c>
    </row>
    <row r="433" spans="1:18" x14ac:dyDescent="0.3">
      <c r="A433" t="s">
        <v>2114</v>
      </c>
      <c r="B433" s="1">
        <v>42781</v>
      </c>
      <c r="C433" s="1">
        <v>42788</v>
      </c>
      <c r="D433" s="1">
        <v>42767</v>
      </c>
      <c r="E433" t="s">
        <v>43</v>
      </c>
      <c r="F433" t="s">
        <v>1632</v>
      </c>
      <c r="G433" t="s">
        <v>1633</v>
      </c>
      <c r="H433" t="s">
        <v>22</v>
      </c>
      <c r="I433" t="s">
        <v>23</v>
      </c>
      <c r="J433" t="s">
        <v>206</v>
      </c>
      <c r="K433" t="s">
        <v>207</v>
      </c>
      <c r="L433">
        <v>10009</v>
      </c>
      <c r="M433" t="s">
        <v>117</v>
      </c>
      <c r="N433" t="s">
        <v>2115</v>
      </c>
      <c r="O433" t="s">
        <v>39</v>
      </c>
      <c r="P433" t="s">
        <v>71</v>
      </c>
      <c r="Q433" t="s">
        <v>2116</v>
      </c>
      <c r="R433">
        <v>398352</v>
      </c>
    </row>
    <row r="434" spans="1:18" x14ac:dyDescent="0.3">
      <c r="A434" t="s">
        <v>2117</v>
      </c>
      <c r="B434" s="1">
        <v>42350</v>
      </c>
      <c r="C434" s="1">
        <v>42352</v>
      </c>
      <c r="D434" s="1">
        <v>42339</v>
      </c>
      <c r="E434" t="s">
        <v>19</v>
      </c>
      <c r="F434" t="s">
        <v>2118</v>
      </c>
      <c r="G434" t="s">
        <v>2119</v>
      </c>
      <c r="H434" t="s">
        <v>22</v>
      </c>
      <c r="I434" t="s">
        <v>23</v>
      </c>
      <c r="J434" t="s">
        <v>2120</v>
      </c>
      <c r="K434" t="s">
        <v>36</v>
      </c>
      <c r="L434">
        <v>93727</v>
      </c>
      <c r="M434" t="s">
        <v>37</v>
      </c>
      <c r="N434" t="s">
        <v>2121</v>
      </c>
      <c r="O434" t="s">
        <v>28</v>
      </c>
      <c r="P434" t="s">
        <v>49</v>
      </c>
      <c r="Q434" t="s">
        <v>2122</v>
      </c>
      <c r="R434">
        <v>764688</v>
      </c>
    </row>
    <row r="435" spans="1:18" x14ac:dyDescent="0.3">
      <c r="A435" t="s">
        <v>2123</v>
      </c>
      <c r="B435" s="1">
        <v>42555</v>
      </c>
      <c r="C435" s="1">
        <v>42560</v>
      </c>
      <c r="D435" s="1">
        <v>42552</v>
      </c>
      <c r="E435" t="s">
        <v>43</v>
      </c>
      <c r="F435" t="s">
        <v>66</v>
      </c>
      <c r="G435" t="s">
        <v>67</v>
      </c>
      <c r="H435" t="s">
        <v>22</v>
      </c>
      <c r="I435" t="s">
        <v>23</v>
      </c>
      <c r="J435" t="s">
        <v>1614</v>
      </c>
      <c r="K435" t="s">
        <v>87</v>
      </c>
      <c r="L435">
        <v>53209</v>
      </c>
      <c r="M435" t="s">
        <v>79</v>
      </c>
      <c r="N435" t="s">
        <v>2124</v>
      </c>
      <c r="O435" t="s">
        <v>147</v>
      </c>
      <c r="P435" t="s">
        <v>148</v>
      </c>
      <c r="Q435" t="s">
        <v>2125</v>
      </c>
      <c r="R435">
        <v>109996</v>
      </c>
    </row>
    <row r="436" spans="1:18" x14ac:dyDescent="0.3">
      <c r="A436" t="s">
        <v>2126</v>
      </c>
      <c r="B436" s="1">
        <v>43169</v>
      </c>
      <c r="C436" s="1">
        <v>43173</v>
      </c>
      <c r="D436" s="1">
        <v>43160</v>
      </c>
      <c r="E436" t="s">
        <v>43</v>
      </c>
      <c r="F436" t="s">
        <v>2127</v>
      </c>
      <c r="G436" t="s">
        <v>2128</v>
      </c>
      <c r="H436" t="s">
        <v>76</v>
      </c>
      <c r="I436" t="s">
        <v>23</v>
      </c>
      <c r="J436" t="s">
        <v>1427</v>
      </c>
      <c r="K436" t="s">
        <v>116</v>
      </c>
      <c r="L436">
        <v>19013</v>
      </c>
      <c r="M436" t="s">
        <v>117</v>
      </c>
      <c r="N436" t="s">
        <v>2129</v>
      </c>
      <c r="O436" t="s">
        <v>39</v>
      </c>
      <c r="P436" t="s">
        <v>103</v>
      </c>
      <c r="Q436" t="s">
        <v>2130</v>
      </c>
      <c r="R436">
        <v>5248</v>
      </c>
    </row>
    <row r="437" spans="1:18" x14ac:dyDescent="0.3">
      <c r="A437" t="s">
        <v>2131</v>
      </c>
      <c r="B437" s="1">
        <v>43093</v>
      </c>
      <c r="C437" s="1">
        <v>43097</v>
      </c>
      <c r="D437" s="1">
        <v>43070</v>
      </c>
      <c r="E437" t="s">
        <v>19</v>
      </c>
      <c r="F437" t="s">
        <v>999</v>
      </c>
      <c r="G437" t="s">
        <v>1000</v>
      </c>
      <c r="H437" t="s">
        <v>76</v>
      </c>
      <c r="I437" t="s">
        <v>23</v>
      </c>
      <c r="J437" t="s">
        <v>352</v>
      </c>
      <c r="K437" t="s">
        <v>61</v>
      </c>
      <c r="L437">
        <v>28205</v>
      </c>
      <c r="M437" t="s">
        <v>26</v>
      </c>
      <c r="N437" t="s">
        <v>2132</v>
      </c>
      <c r="O437" t="s">
        <v>39</v>
      </c>
      <c r="P437" t="s">
        <v>71</v>
      </c>
      <c r="Q437" t="s">
        <v>2133</v>
      </c>
      <c r="R437">
        <v>27882</v>
      </c>
    </row>
    <row r="438" spans="1:18" x14ac:dyDescent="0.3">
      <c r="A438" t="s">
        <v>2134</v>
      </c>
      <c r="B438" s="1">
        <v>43396</v>
      </c>
      <c r="C438" s="1">
        <v>43400</v>
      </c>
      <c r="D438" s="1">
        <v>43374</v>
      </c>
      <c r="E438" t="s">
        <v>43</v>
      </c>
      <c r="F438" t="s">
        <v>2135</v>
      </c>
      <c r="G438" t="s">
        <v>2136</v>
      </c>
      <c r="H438" t="s">
        <v>22</v>
      </c>
      <c r="I438" t="s">
        <v>23</v>
      </c>
      <c r="J438" t="s">
        <v>1007</v>
      </c>
      <c r="K438" t="s">
        <v>47</v>
      </c>
      <c r="L438">
        <v>32216</v>
      </c>
      <c r="M438" t="s">
        <v>26</v>
      </c>
      <c r="N438" t="s">
        <v>2137</v>
      </c>
      <c r="O438" t="s">
        <v>147</v>
      </c>
      <c r="P438" t="s">
        <v>148</v>
      </c>
      <c r="Q438" t="s">
        <v>2138</v>
      </c>
      <c r="R438">
        <v>86388</v>
      </c>
    </row>
    <row r="439" spans="1:18" x14ac:dyDescent="0.3">
      <c r="A439" t="s">
        <v>2139</v>
      </c>
      <c r="B439" s="1">
        <v>43288</v>
      </c>
      <c r="C439" s="1">
        <v>43290</v>
      </c>
      <c r="D439" s="1">
        <v>43282</v>
      </c>
      <c r="E439" t="s">
        <v>19</v>
      </c>
      <c r="F439" t="s">
        <v>2016</v>
      </c>
      <c r="G439" t="s">
        <v>2017</v>
      </c>
      <c r="H439" t="s">
        <v>22</v>
      </c>
      <c r="I439" t="s">
        <v>23</v>
      </c>
      <c r="J439" t="s">
        <v>1252</v>
      </c>
      <c r="K439" t="s">
        <v>207</v>
      </c>
      <c r="L439">
        <v>11561</v>
      </c>
      <c r="M439" t="s">
        <v>117</v>
      </c>
      <c r="N439" t="s">
        <v>128</v>
      </c>
      <c r="O439" t="s">
        <v>39</v>
      </c>
      <c r="P439" t="s">
        <v>71</v>
      </c>
      <c r="Q439" t="s">
        <v>129</v>
      </c>
      <c r="R439">
        <v>17472</v>
      </c>
    </row>
    <row r="440" spans="1:18" x14ac:dyDescent="0.3">
      <c r="A440" t="s">
        <v>2140</v>
      </c>
      <c r="B440" s="1">
        <v>42846</v>
      </c>
      <c r="C440" s="1">
        <v>42851</v>
      </c>
      <c r="D440" s="1">
        <v>42826</v>
      </c>
      <c r="E440" t="s">
        <v>43</v>
      </c>
      <c r="F440" t="s">
        <v>1376</v>
      </c>
      <c r="G440" t="s">
        <v>1377</v>
      </c>
      <c r="H440" t="s">
        <v>34</v>
      </c>
      <c r="I440" t="s">
        <v>23</v>
      </c>
      <c r="J440" t="s">
        <v>225</v>
      </c>
      <c r="K440" t="s">
        <v>160</v>
      </c>
      <c r="L440">
        <v>60623</v>
      </c>
      <c r="M440" t="s">
        <v>79</v>
      </c>
      <c r="N440" t="s">
        <v>2141</v>
      </c>
      <c r="O440" t="s">
        <v>39</v>
      </c>
      <c r="P440" t="s">
        <v>89</v>
      </c>
      <c r="Q440" t="s">
        <v>2142</v>
      </c>
      <c r="R440">
        <v>102336</v>
      </c>
    </row>
    <row r="441" spans="1:18" x14ac:dyDescent="0.3">
      <c r="A441" t="s">
        <v>2143</v>
      </c>
      <c r="B441" s="1">
        <v>42881</v>
      </c>
      <c r="C441" s="1">
        <v>42881</v>
      </c>
      <c r="D441" s="1">
        <v>42856</v>
      </c>
      <c r="E441" t="s">
        <v>857</v>
      </c>
      <c r="F441" t="s">
        <v>1974</v>
      </c>
      <c r="G441" t="s">
        <v>1975</v>
      </c>
      <c r="H441" t="s">
        <v>22</v>
      </c>
      <c r="I441" t="s">
        <v>23</v>
      </c>
      <c r="J441" t="s">
        <v>77</v>
      </c>
      <c r="K441" t="s">
        <v>78</v>
      </c>
      <c r="L441">
        <v>76106</v>
      </c>
      <c r="M441" t="s">
        <v>79</v>
      </c>
      <c r="N441" t="s">
        <v>2144</v>
      </c>
      <c r="O441" t="s">
        <v>39</v>
      </c>
      <c r="P441" t="s">
        <v>63</v>
      </c>
      <c r="Q441" t="s">
        <v>2145</v>
      </c>
      <c r="R441">
        <v>10368</v>
      </c>
    </row>
    <row r="442" spans="1:18" x14ac:dyDescent="0.3">
      <c r="A442" t="s">
        <v>2146</v>
      </c>
      <c r="B442" s="1">
        <v>42857</v>
      </c>
      <c r="C442" s="1">
        <v>42862</v>
      </c>
      <c r="D442" s="1">
        <v>42856</v>
      </c>
      <c r="E442" t="s">
        <v>43</v>
      </c>
      <c r="F442" t="s">
        <v>2147</v>
      </c>
      <c r="G442" t="s">
        <v>2148</v>
      </c>
      <c r="H442" t="s">
        <v>22</v>
      </c>
      <c r="I442" t="s">
        <v>23</v>
      </c>
      <c r="J442" t="s">
        <v>138</v>
      </c>
      <c r="K442" t="s">
        <v>78</v>
      </c>
      <c r="L442">
        <v>77070</v>
      </c>
      <c r="M442" t="s">
        <v>79</v>
      </c>
      <c r="N442" t="s">
        <v>2149</v>
      </c>
      <c r="O442" t="s">
        <v>39</v>
      </c>
      <c r="P442" t="s">
        <v>103</v>
      </c>
      <c r="Q442" t="s">
        <v>2150</v>
      </c>
      <c r="R442">
        <v>86352</v>
      </c>
    </row>
    <row r="443" spans="1:18" x14ac:dyDescent="0.3">
      <c r="A443" t="s">
        <v>2151</v>
      </c>
      <c r="B443" s="1">
        <v>43061</v>
      </c>
      <c r="C443" s="1">
        <v>43065</v>
      </c>
      <c r="D443" s="1">
        <v>43040</v>
      </c>
      <c r="E443" t="s">
        <v>43</v>
      </c>
      <c r="F443" t="s">
        <v>2152</v>
      </c>
      <c r="G443" t="s">
        <v>2153</v>
      </c>
      <c r="H443" t="s">
        <v>34</v>
      </c>
      <c r="I443" t="s">
        <v>23</v>
      </c>
      <c r="J443" t="s">
        <v>206</v>
      </c>
      <c r="K443" t="s">
        <v>207</v>
      </c>
      <c r="L443">
        <v>10009</v>
      </c>
      <c r="M443" t="s">
        <v>117</v>
      </c>
      <c r="N443" t="s">
        <v>2154</v>
      </c>
      <c r="O443" t="s">
        <v>28</v>
      </c>
      <c r="P443" t="s">
        <v>55</v>
      </c>
      <c r="Q443" t="s">
        <v>2155</v>
      </c>
      <c r="R443">
        <v>3988</v>
      </c>
    </row>
    <row r="444" spans="1:18" x14ac:dyDescent="0.3">
      <c r="A444" t="s">
        <v>2156</v>
      </c>
      <c r="B444" s="1">
        <v>42515</v>
      </c>
      <c r="C444" s="1">
        <v>42519</v>
      </c>
      <c r="D444" s="1">
        <v>42491</v>
      </c>
      <c r="E444" t="s">
        <v>43</v>
      </c>
      <c r="F444" t="s">
        <v>2157</v>
      </c>
      <c r="G444" t="s">
        <v>2158</v>
      </c>
      <c r="H444" t="s">
        <v>22</v>
      </c>
      <c r="I444" t="s">
        <v>23</v>
      </c>
      <c r="J444" t="s">
        <v>2159</v>
      </c>
      <c r="K444" t="s">
        <v>346</v>
      </c>
      <c r="L444">
        <v>81001</v>
      </c>
      <c r="M444" t="s">
        <v>37</v>
      </c>
      <c r="N444" t="s">
        <v>2160</v>
      </c>
      <c r="O444" t="s">
        <v>39</v>
      </c>
      <c r="P444" t="s">
        <v>81</v>
      </c>
      <c r="Q444" t="s">
        <v>2161</v>
      </c>
      <c r="R444">
        <v>845728</v>
      </c>
    </row>
    <row r="445" spans="1:18" x14ac:dyDescent="0.3">
      <c r="A445" t="s">
        <v>2162</v>
      </c>
      <c r="B445" s="1">
        <v>43092</v>
      </c>
      <c r="C445" s="1">
        <v>43094</v>
      </c>
      <c r="D445" s="1">
        <v>43070</v>
      </c>
      <c r="E445" t="s">
        <v>19</v>
      </c>
      <c r="F445" t="s">
        <v>588</v>
      </c>
      <c r="G445" t="s">
        <v>589</v>
      </c>
      <c r="H445" t="s">
        <v>22</v>
      </c>
      <c r="I445" t="s">
        <v>23</v>
      </c>
      <c r="J445" t="s">
        <v>238</v>
      </c>
      <c r="K445" t="s">
        <v>239</v>
      </c>
      <c r="L445">
        <v>22153</v>
      </c>
      <c r="M445" t="s">
        <v>26</v>
      </c>
      <c r="N445" t="s">
        <v>2163</v>
      </c>
      <c r="O445" t="s">
        <v>28</v>
      </c>
      <c r="P445" t="s">
        <v>55</v>
      </c>
      <c r="Q445" t="s">
        <v>2164</v>
      </c>
      <c r="R445">
        <v>57276</v>
      </c>
    </row>
    <row r="446" spans="1:18" x14ac:dyDescent="0.3">
      <c r="A446" t="s">
        <v>2165</v>
      </c>
      <c r="B446" s="1">
        <v>42632</v>
      </c>
      <c r="C446" s="1">
        <v>42637</v>
      </c>
      <c r="D446" s="1">
        <v>42614</v>
      </c>
      <c r="E446" t="s">
        <v>19</v>
      </c>
      <c r="F446" t="s">
        <v>2166</v>
      </c>
      <c r="G446" t="s">
        <v>2167</v>
      </c>
      <c r="H446" t="s">
        <v>76</v>
      </c>
      <c r="I446" t="s">
        <v>23</v>
      </c>
      <c r="J446" t="s">
        <v>1374</v>
      </c>
      <c r="K446" t="s">
        <v>239</v>
      </c>
      <c r="L446">
        <v>22204</v>
      </c>
      <c r="M446" t="s">
        <v>26</v>
      </c>
      <c r="N446" t="s">
        <v>2168</v>
      </c>
      <c r="O446" t="s">
        <v>28</v>
      </c>
      <c r="P446" t="s">
        <v>29</v>
      </c>
      <c r="Q446" t="s">
        <v>2169</v>
      </c>
      <c r="R446">
        <v>6196</v>
      </c>
    </row>
    <row r="447" spans="1:18" x14ac:dyDescent="0.3">
      <c r="A447" t="s">
        <v>2170</v>
      </c>
      <c r="B447" s="1">
        <v>43284</v>
      </c>
      <c r="C447" s="1">
        <v>43288</v>
      </c>
      <c r="D447" s="1">
        <v>43282</v>
      </c>
      <c r="E447" t="s">
        <v>43</v>
      </c>
      <c r="F447" t="s">
        <v>2171</v>
      </c>
      <c r="G447" t="s">
        <v>2172</v>
      </c>
      <c r="H447" t="s">
        <v>22</v>
      </c>
      <c r="I447" t="s">
        <v>23</v>
      </c>
      <c r="J447" t="s">
        <v>376</v>
      </c>
      <c r="K447" t="s">
        <v>845</v>
      </c>
      <c r="L447">
        <v>31907</v>
      </c>
      <c r="M447" t="s">
        <v>26</v>
      </c>
      <c r="N447" t="s">
        <v>2173</v>
      </c>
      <c r="O447" t="s">
        <v>28</v>
      </c>
      <c r="P447" t="s">
        <v>55</v>
      </c>
      <c r="Q447" t="s">
        <v>2174</v>
      </c>
      <c r="R447">
        <v>2399</v>
      </c>
    </row>
    <row r="448" spans="1:18" x14ac:dyDescent="0.3">
      <c r="A448" t="s">
        <v>2175</v>
      </c>
      <c r="B448" s="1">
        <v>43002</v>
      </c>
      <c r="C448" s="1">
        <v>43009</v>
      </c>
      <c r="D448" s="1">
        <v>42979</v>
      </c>
      <c r="E448" t="s">
        <v>43</v>
      </c>
      <c r="F448" t="s">
        <v>84</v>
      </c>
      <c r="G448" t="s">
        <v>85</v>
      </c>
      <c r="H448" t="s">
        <v>22</v>
      </c>
      <c r="I448" t="s">
        <v>23</v>
      </c>
      <c r="J448" t="s">
        <v>376</v>
      </c>
      <c r="K448" t="s">
        <v>377</v>
      </c>
      <c r="L448">
        <v>43229</v>
      </c>
      <c r="M448" t="s">
        <v>117</v>
      </c>
      <c r="N448" t="s">
        <v>2176</v>
      </c>
      <c r="O448" t="s">
        <v>28</v>
      </c>
      <c r="P448" t="s">
        <v>119</v>
      </c>
      <c r="Q448" t="s">
        <v>2177</v>
      </c>
      <c r="R448">
        <v>155372</v>
      </c>
    </row>
    <row r="449" spans="1:18" x14ac:dyDescent="0.3">
      <c r="A449" t="s">
        <v>2178</v>
      </c>
      <c r="B449" s="1">
        <v>43134</v>
      </c>
      <c r="C449" s="1">
        <v>43139</v>
      </c>
      <c r="D449" s="1">
        <v>43132</v>
      </c>
      <c r="E449" t="s">
        <v>43</v>
      </c>
      <c r="F449" t="s">
        <v>2179</v>
      </c>
      <c r="G449" t="s">
        <v>2180</v>
      </c>
      <c r="H449" t="s">
        <v>22</v>
      </c>
      <c r="I449" t="s">
        <v>23</v>
      </c>
      <c r="J449" t="s">
        <v>910</v>
      </c>
      <c r="K449" t="s">
        <v>377</v>
      </c>
      <c r="L449">
        <v>45231</v>
      </c>
      <c r="M449" t="s">
        <v>117</v>
      </c>
      <c r="N449" t="s">
        <v>1735</v>
      </c>
      <c r="O449" t="s">
        <v>39</v>
      </c>
      <c r="P449" t="s">
        <v>71</v>
      </c>
      <c r="Q449" t="s">
        <v>1736</v>
      </c>
      <c r="R449">
        <v>5229</v>
      </c>
    </row>
    <row r="450" spans="1:18" x14ac:dyDescent="0.3">
      <c r="A450" t="s">
        <v>2181</v>
      </c>
      <c r="B450" s="1">
        <v>43162</v>
      </c>
      <c r="C450" s="1">
        <v>43167</v>
      </c>
      <c r="D450" s="1">
        <v>43160</v>
      </c>
      <c r="E450" t="s">
        <v>43</v>
      </c>
      <c r="F450" t="s">
        <v>2182</v>
      </c>
      <c r="G450" t="s">
        <v>2183</v>
      </c>
      <c r="H450" t="s">
        <v>22</v>
      </c>
      <c r="I450" t="s">
        <v>23</v>
      </c>
      <c r="J450" t="s">
        <v>2184</v>
      </c>
      <c r="K450" t="s">
        <v>25</v>
      </c>
      <c r="L450">
        <v>42071</v>
      </c>
      <c r="M450" t="s">
        <v>26</v>
      </c>
      <c r="N450" t="s">
        <v>2185</v>
      </c>
      <c r="O450" t="s">
        <v>39</v>
      </c>
      <c r="P450" t="s">
        <v>81</v>
      </c>
      <c r="Q450" t="s">
        <v>2186</v>
      </c>
      <c r="R450">
        <v>728</v>
      </c>
    </row>
    <row r="451" spans="1:18" x14ac:dyDescent="0.3">
      <c r="A451" t="s">
        <v>2187</v>
      </c>
      <c r="B451" s="1">
        <v>43382</v>
      </c>
      <c r="C451" s="1">
        <v>43383</v>
      </c>
      <c r="D451" s="1">
        <v>43374</v>
      </c>
      <c r="E451" t="s">
        <v>142</v>
      </c>
      <c r="F451" t="s">
        <v>2188</v>
      </c>
      <c r="G451" t="s">
        <v>2189</v>
      </c>
      <c r="H451" t="s">
        <v>22</v>
      </c>
      <c r="I451" t="s">
        <v>23</v>
      </c>
      <c r="J451" t="s">
        <v>956</v>
      </c>
      <c r="K451" t="s">
        <v>61</v>
      </c>
      <c r="L451">
        <v>28403</v>
      </c>
      <c r="M451" t="s">
        <v>26</v>
      </c>
      <c r="N451" t="s">
        <v>2190</v>
      </c>
      <c r="O451" t="s">
        <v>39</v>
      </c>
      <c r="P451" t="s">
        <v>63</v>
      </c>
      <c r="Q451" t="s">
        <v>2191</v>
      </c>
      <c r="R451">
        <v>10816</v>
      </c>
    </row>
    <row r="452" spans="1:18" x14ac:dyDescent="0.3">
      <c r="A452" t="s">
        <v>2192</v>
      </c>
      <c r="B452" s="1">
        <v>42275</v>
      </c>
      <c r="C452" s="1">
        <v>42280</v>
      </c>
      <c r="D452" s="1">
        <v>42248</v>
      </c>
      <c r="E452" t="s">
        <v>43</v>
      </c>
      <c r="F452" t="s">
        <v>2193</v>
      </c>
      <c r="G452" t="s">
        <v>2194</v>
      </c>
      <c r="H452" t="s">
        <v>34</v>
      </c>
      <c r="I452" t="s">
        <v>23</v>
      </c>
      <c r="J452" t="s">
        <v>1157</v>
      </c>
      <c r="K452" t="s">
        <v>829</v>
      </c>
      <c r="L452">
        <v>1841</v>
      </c>
      <c r="M452" t="s">
        <v>117</v>
      </c>
      <c r="N452" t="s">
        <v>1717</v>
      </c>
      <c r="O452" t="s">
        <v>39</v>
      </c>
      <c r="P452" t="s">
        <v>89</v>
      </c>
      <c r="Q452" t="s">
        <v>1718</v>
      </c>
      <c r="R452">
        <v>4626</v>
      </c>
    </row>
    <row r="453" spans="1:18" x14ac:dyDescent="0.3">
      <c r="A453" t="s">
        <v>2195</v>
      </c>
      <c r="B453" s="1">
        <v>42535</v>
      </c>
      <c r="C453" s="1">
        <v>42539</v>
      </c>
      <c r="D453" s="1">
        <v>42522</v>
      </c>
      <c r="E453" t="s">
        <v>43</v>
      </c>
      <c r="F453" t="s">
        <v>392</v>
      </c>
      <c r="G453" t="s">
        <v>393</v>
      </c>
      <c r="H453" t="s">
        <v>76</v>
      </c>
      <c r="I453" t="s">
        <v>23</v>
      </c>
      <c r="J453" t="s">
        <v>115</v>
      </c>
      <c r="K453" t="s">
        <v>116</v>
      </c>
      <c r="L453">
        <v>19120</v>
      </c>
      <c r="M453" t="s">
        <v>117</v>
      </c>
      <c r="N453" t="s">
        <v>2196</v>
      </c>
      <c r="O453" t="s">
        <v>28</v>
      </c>
      <c r="P453" t="s">
        <v>55</v>
      </c>
      <c r="Q453" t="s">
        <v>2197</v>
      </c>
      <c r="R453">
        <v>51072</v>
      </c>
    </row>
    <row r="454" spans="1:18" x14ac:dyDescent="0.3">
      <c r="A454" t="s">
        <v>2198</v>
      </c>
      <c r="B454" s="1">
        <v>42824</v>
      </c>
      <c r="C454" s="1">
        <v>42826</v>
      </c>
      <c r="D454" s="1">
        <v>42795</v>
      </c>
      <c r="E454" t="s">
        <v>142</v>
      </c>
      <c r="F454" t="s">
        <v>2199</v>
      </c>
      <c r="G454" t="s">
        <v>2200</v>
      </c>
      <c r="H454" t="s">
        <v>34</v>
      </c>
      <c r="I454" t="s">
        <v>23</v>
      </c>
      <c r="J454" t="s">
        <v>2201</v>
      </c>
      <c r="K454" t="s">
        <v>539</v>
      </c>
      <c r="L454">
        <v>6360</v>
      </c>
      <c r="M454" t="s">
        <v>117</v>
      </c>
      <c r="N454" t="s">
        <v>1853</v>
      </c>
      <c r="O454" t="s">
        <v>39</v>
      </c>
      <c r="P454" t="s">
        <v>63</v>
      </c>
      <c r="Q454" t="s">
        <v>1854</v>
      </c>
      <c r="R454">
        <v>1134</v>
      </c>
    </row>
    <row r="455" spans="1:18" x14ac:dyDescent="0.3">
      <c r="A455" t="s">
        <v>2202</v>
      </c>
      <c r="B455" s="1">
        <v>43388</v>
      </c>
      <c r="C455" s="1">
        <v>43391</v>
      </c>
      <c r="D455" s="1">
        <v>43374</v>
      </c>
      <c r="E455" t="s">
        <v>19</v>
      </c>
      <c r="F455" t="s">
        <v>2203</v>
      </c>
      <c r="G455" t="s">
        <v>2204</v>
      </c>
      <c r="H455" t="s">
        <v>76</v>
      </c>
      <c r="I455" t="s">
        <v>23</v>
      </c>
      <c r="J455" t="s">
        <v>101</v>
      </c>
      <c r="K455" t="s">
        <v>36</v>
      </c>
      <c r="L455">
        <v>94110</v>
      </c>
      <c r="M455" t="s">
        <v>37</v>
      </c>
      <c r="N455" t="s">
        <v>2205</v>
      </c>
      <c r="O455" t="s">
        <v>39</v>
      </c>
      <c r="P455" t="s">
        <v>103</v>
      </c>
      <c r="Q455" t="s">
        <v>2206</v>
      </c>
      <c r="R455">
        <v>8792</v>
      </c>
    </row>
    <row r="456" spans="1:18" x14ac:dyDescent="0.3">
      <c r="A456" t="s">
        <v>2207</v>
      </c>
      <c r="B456" s="1">
        <v>42878</v>
      </c>
      <c r="C456" s="1">
        <v>42882</v>
      </c>
      <c r="D456" s="1">
        <v>42856</v>
      </c>
      <c r="E456" t="s">
        <v>43</v>
      </c>
      <c r="F456" t="s">
        <v>2208</v>
      </c>
      <c r="G456" t="s">
        <v>2209</v>
      </c>
      <c r="H456" t="s">
        <v>22</v>
      </c>
      <c r="I456" t="s">
        <v>23</v>
      </c>
      <c r="J456" t="s">
        <v>101</v>
      </c>
      <c r="K456" t="s">
        <v>36</v>
      </c>
      <c r="L456">
        <v>94109</v>
      </c>
      <c r="M456" t="s">
        <v>37</v>
      </c>
      <c r="N456" t="s">
        <v>2112</v>
      </c>
      <c r="O456" t="s">
        <v>28</v>
      </c>
      <c r="P456" t="s">
        <v>55</v>
      </c>
      <c r="Q456" t="s">
        <v>2113</v>
      </c>
      <c r="R456">
        <v>3705</v>
      </c>
    </row>
    <row r="457" spans="1:18" x14ac:dyDescent="0.3">
      <c r="A457" t="s">
        <v>2210</v>
      </c>
      <c r="B457" s="1">
        <v>43253</v>
      </c>
      <c r="C457" s="1">
        <v>43257</v>
      </c>
      <c r="D457" s="1">
        <v>43252</v>
      </c>
      <c r="E457" t="s">
        <v>43</v>
      </c>
      <c r="F457" t="s">
        <v>2211</v>
      </c>
      <c r="G457" t="s">
        <v>2212</v>
      </c>
      <c r="H457" t="s">
        <v>76</v>
      </c>
      <c r="I457" t="s">
        <v>23</v>
      </c>
      <c r="J457" t="s">
        <v>1655</v>
      </c>
      <c r="K457" t="s">
        <v>377</v>
      </c>
      <c r="L457">
        <v>44052</v>
      </c>
      <c r="M457" t="s">
        <v>117</v>
      </c>
      <c r="N457" t="s">
        <v>2213</v>
      </c>
      <c r="O457" t="s">
        <v>147</v>
      </c>
      <c r="P457" t="s">
        <v>148</v>
      </c>
      <c r="Q457" t="s">
        <v>2214</v>
      </c>
      <c r="R457">
        <v>297</v>
      </c>
    </row>
    <row r="458" spans="1:18" x14ac:dyDescent="0.3">
      <c r="A458" t="s">
        <v>2215</v>
      </c>
      <c r="B458" s="1">
        <v>42051</v>
      </c>
      <c r="C458" s="1">
        <v>42056</v>
      </c>
      <c r="D458" s="1">
        <v>42036</v>
      </c>
      <c r="E458" t="s">
        <v>43</v>
      </c>
      <c r="F458" t="s">
        <v>2216</v>
      </c>
      <c r="G458" t="s">
        <v>2217</v>
      </c>
      <c r="H458" t="s">
        <v>22</v>
      </c>
      <c r="I458" t="s">
        <v>23</v>
      </c>
      <c r="J458" t="s">
        <v>590</v>
      </c>
      <c r="K458" t="s">
        <v>78</v>
      </c>
      <c r="L458">
        <v>75220</v>
      </c>
      <c r="M458" t="s">
        <v>79</v>
      </c>
      <c r="N458" t="s">
        <v>1849</v>
      </c>
      <c r="O458" t="s">
        <v>39</v>
      </c>
      <c r="P458" t="s">
        <v>71</v>
      </c>
      <c r="Q458" t="s">
        <v>1850</v>
      </c>
      <c r="R458">
        <v>108</v>
      </c>
    </row>
    <row r="459" spans="1:18" x14ac:dyDescent="0.3">
      <c r="A459" t="s">
        <v>2218</v>
      </c>
      <c r="B459" s="1">
        <v>42130</v>
      </c>
      <c r="C459" s="1">
        <v>42134</v>
      </c>
      <c r="D459" s="1">
        <v>42125</v>
      </c>
      <c r="E459" t="s">
        <v>43</v>
      </c>
      <c r="F459" t="s">
        <v>74</v>
      </c>
      <c r="G459" t="s">
        <v>75</v>
      </c>
      <c r="H459" t="s">
        <v>76</v>
      </c>
      <c r="I459" t="s">
        <v>23</v>
      </c>
      <c r="J459" t="s">
        <v>35</v>
      </c>
      <c r="K459" t="s">
        <v>36</v>
      </c>
      <c r="L459">
        <v>90049</v>
      </c>
      <c r="M459" t="s">
        <v>37</v>
      </c>
      <c r="N459" t="s">
        <v>2219</v>
      </c>
      <c r="O459" t="s">
        <v>39</v>
      </c>
      <c r="P459" t="s">
        <v>71</v>
      </c>
      <c r="Q459" t="s">
        <v>2220</v>
      </c>
      <c r="R459">
        <v>140736</v>
      </c>
    </row>
    <row r="460" spans="1:18" x14ac:dyDescent="0.3">
      <c r="A460" t="s">
        <v>2221</v>
      </c>
      <c r="B460" s="1">
        <v>42871</v>
      </c>
      <c r="C460" s="1">
        <v>42878</v>
      </c>
      <c r="D460" s="1">
        <v>42856</v>
      </c>
      <c r="E460" t="s">
        <v>43</v>
      </c>
      <c r="F460" t="s">
        <v>2222</v>
      </c>
      <c r="G460" t="s">
        <v>2223</v>
      </c>
      <c r="H460" t="s">
        <v>22</v>
      </c>
      <c r="I460" t="s">
        <v>23</v>
      </c>
      <c r="J460" t="s">
        <v>2224</v>
      </c>
      <c r="K460" t="s">
        <v>539</v>
      </c>
      <c r="L460">
        <v>6457</v>
      </c>
      <c r="M460" t="s">
        <v>117</v>
      </c>
      <c r="N460" t="s">
        <v>2225</v>
      </c>
      <c r="O460" t="s">
        <v>39</v>
      </c>
      <c r="P460" t="s">
        <v>89</v>
      </c>
      <c r="Q460" t="s">
        <v>2226</v>
      </c>
      <c r="R460">
        <v>55256</v>
      </c>
    </row>
    <row r="461" spans="1:18" x14ac:dyDescent="0.3">
      <c r="A461" t="s">
        <v>2227</v>
      </c>
      <c r="B461" s="1">
        <v>43192</v>
      </c>
      <c r="C461" s="1">
        <v>43197</v>
      </c>
      <c r="D461" s="1">
        <v>43191</v>
      </c>
      <c r="E461" t="s">
        <v>43</v>
      </c>
      <c r="F461" t="s">
        <v>2228</v>
      </c>
      <c r="G461" t="s">
        <v>2229</v>
      </c>
      <c r="H461" t="s">
        <v>22</v>
      </c>
      <c r="I461" t="s">
        <v>23</v>
      </c>
      <c r="J461" t="s">
        <v>35</v>
      </c>
      <c r="K461" t="s">
        <v>36</v>
      </c>
      <c r="L461">
        <v>90008</v>
      </c>
      <c r="M461" t="s">
        <v>37</v>
      </c>
      <c r="N461" t="s">
        <v>2230</v>
      </c>
      <c r="O461" t="s">
        <v>28</v>
      </c>
      <c r="P461" t="s">
        <v>55</v>
      </c>
      <c r="Q461" t="s">
        <v>2231</v>
      </c>
      <c r="R461">
        <v>2511</v>
      </c>
    </row>
    <row r="462" spans="1:18" x14ac:dyDescent="0.3">
      <c r="A462" t="s">
        <v>2232</v>
      </c>
      <c r="B462" s="1">
        <v>43102</v>
      </c>
      <c r="C462" s="1">
        <v>43104</v>
      </c>
      <c r="D462" s="1">
        <v>43101</v>
      </c>
      <c r="E462" t="s">
        <v>142</v>
      </c>
      <c r="F462" t="s">
        <v>2233</v>
      </c>
      <c r="G462" t="s">
        <v>2234</v>
      </c>
      <c r="H462" t="s">
        <v>34</v>
      </c>
      <c r="I462" t="s">
        <v>23</v>
      </c>
      <c r="J462" t="s">
        <v>1007</v>
      </c>
      <c r="K462" t="s">
        <v>61</v>
      </c>
      <c r="L462">
        <v>28540</v>
      </c>
      <c r="M462" t="s">
        <v>26</v>
      </c>
      <c r="N462" t="s">
        <v>2235</v>
      </c>
      <c r="O462" t="s">
        <v>147</v>
      </c>
      <c r="P462" t="s">
        <v>680</v>
      </c>
      <c r="Q462" t="s">
        <v>2236</v>
      </c>
      <c r="R462">
        <v>6957</v>
      </c>
    </row>
    <row r="463" spans="1:18" x14ac:dyDescent="0.3">
      <c r="A463" t="s">
        <v>2237</v>
      </c>
      <c r="B463" s="1">
        <v>42080</v>
      </c>
      <c r="C463" s="1">
        <v>42087</v>
      </c>
      <c r="D463" s="1">
        <v>42064</v>
      </c>
      <c r="E463" t="s">
        <v>43</v>
      </c>
      <c r="F463" t="s">
        <v>1135</v>
      </c>
      <c r="G463" t="s">
        <v>1136</v>
      </c>
      <c r="H463" t="s">
        <v>22</v>
      </c>
      <c r="I463" t="s">
        <v>23</v>
      </c>
      <c r="J463" t="s">
        <v>654</v>
      </c>
      <c r="K463" t="s">
        <v>178</v>
      </c>
      <c r="L463">
        <v>55044</v>
      </c>
      <c r="M463" t="s">
        <v>79</v>
      </c>
      <c r="N463" t="s">
        <v>2238</v>
      </c>
      <c r="O463" t="s">
        <v>39</v>
      </c>
      <c r="P463" t="s">
        <v>81</v>
      </c>
      <c r="Q463" t="s">
        <v>2239</v>
      </c>
      <c r="R463">
        <v>9378</v>
      </c>
    </row>
    <row r="464" spans="1:18" x14ac:dyDescent="0.3">
      <c r="A464" t="s">
        <v>2240</v>
      </c>
      <c r="B464" s="1">
        <v>42280</v>
      </c>
      <c r="C464" s="1">
        <v>42285</v>
      </c>
      <c r="D464" s="1">
        <v>42278</v>
      </c>
      <c r="E464" t="s">
        <v>19</v>
      </c>
      <c r="F464" t="s">
        <v>2241</v>
      </c>
      <c r="G464" t="s">
        <v>2242</v>
      </c>
      <c r="H464" t="s">
        <v>22</v>
      </c>
      <c r="I464" t="s">
        <v>23</v>
      </c>
      <c r="J464" t="s">
        <v>2243</v>
      </c>
      <c r="K464" t="s">
        <v>160</v>
      </c>
      <c r="L464">
        <v>60201</v>
      </c>
      <c r="M464" t="s">
        <v>79</v>
      </c>
      <c r="N464" t="s">
        <v>2244</v>
      </c>
      <c r="O464" t="s">
        <v>28</v>
      </c>
      <c r="P464" t="s">
        <v>119</v>
      </c>
      <c r="Q464" t="s">
        <v>2245</v>
      </c>
      <c r="R464">
        <v>258279</v>
      </c>
    </row>
    <row r="465" spans="1:18" x14ac:dyDescent="0.3">
      <c r="A465" t="s">
        <v>2246</v>
      </c>
      <c r="B465" s="1">
        <v>42822</v>
      </c>
      <c r="C465" s="1">
        <v>42825</v>
      </c>
      <c r="D465" s="1">
        <v>42795</v>
      </c>
      <c r="E465" t="s">
        <v>142</v>
      </c>
      <c r="F465" t="s">
        <v>2233</v>
      </c>
      <c r="G465" t="s">
        <v>2234</v>
      </c>
      <c r="H465" t="s">
        <v>34</v>
      </c>
      <c r="I465" t="s">
        <v>23</v>
      </c>
      <c r="J465" t="s">
        <v>1374</v>
      </c>
      <c r="K465" t="s">
        <v>239</v>
      </c>
      <c r="L465">
        <v>22204</v>
      </c>
      <c r="M465" t="s">
        <v>26</v>
      </c>
      <c r="N465" t="s">
        <v>2247</v>
      </c>
      <c r="O465" t="s">
        <v>39</v>
      </c>
      <c r="P465" t="s">
        <v>89</v>
      </c>
      <c r="Q465" t="s">
        <v>2248</v>
      </c>
      <c r="R465">
        <v>314</v>
      </c>
    </row>
    <row r="466" spans="1:18" x14ac:dyDescent="0.3">
      <c r="A466" t="s">
        <v>2249</v>
      </c>
      <c r="B466" s="1">
        <v>43224</v>
      </c>
      <c r="C466" s="1">
        <v>43229</v>
      </c>
      <c r="D466" s="1">
        <v>43221</v>
      </c>
      <c r="E466" t="s">
        <v>43</v>
      </c>
      <c r="F466" t="s">
        <v>1991</v>
      </c>
      <c r="G466" t="s">
        <v>1992</v>
      </c>
      <c r="H466" t="s">
        <v>34</v>
      </c>
      <c r="I466" t="s">
        <v>23</v>
      </c>
      <c r="J466" t="s">
        <v>101</v>
      </c>
      <c r="K466" t="s">
        <v>36</v>
      </c>
      <c r="L466">
        <v>94109</v>
      </c>
      <c r="M466" t="s">
        <v>37</v>
      </c>
      <c r="N466" t="s">
        <v>2250</v>
      </c>
      <c r="O466" t="s">
        <v>147</v>
      </c>
      <c r="P466" t="s">
        <v>148</v>
      </c>
      <c r="Q466" t="s">
        <v>2251</v>
      </c>
      <c r="R466">
        <v>18396</v>
      </c>
    </row>
    <row r="467" spans="1:18" x14ac:dyDescent="0.3">
      <c r="A467" t="s">
        <v>2252</v>
      </c>
      <c r="B467" s="1">
        <v>42860</v>
      </c>
      <c r="C467" s="1">
        <v>42862</v>
      </c>
      <c r="D467" s="1">
        <v>42856</v>
      </c>
      <c r="E467" t="s">
        <v>142</v>
      </c>
      <c r="F467" t="s">
        <v>2253</v>
      </c>
      <c r="G467" t="s">
        <v>2254</v>
      </c>
      <c r="H467" t="s">
        <v>22</v>
      </c>
      <c r="I467" t="s">
        <v>23</v>
      </c>
      <c r="J467" t="s">
        <v>978</v>
      </c>
      <c r="K467" t="s">
        <v>25</v>
      </c>
      <c r="L467">
        <v>40214</v>
      </c>
      <c r="M467" t="s">
        <v>26</v>
      </c>
      <c r="N467" t="s">
        <v>2255</v>
      </c>
      <c r="O467" t="s">
        <v>39</v>
      </c>
      <c r="P467" t="s">
        <v>63</v>
      </c>
      <c r="Q467" t="s">
        <v>2256</v>
      </c>
      <c r="R467">
        <v>7914</v>
      </c>
    </row>
    <row r="468" spans="1:18" x14ac:dyDescent="0.3">
      <c r="A468" t="s">
        <v>2257</v>
      </c>
      <c r="B468" s="1">
        <v>43216</v>
      </c>
      <c r="C468" s="1">
        <v>43217</v>
      </c>
      <c r="D468" s="1">
        <v>43191</v>
      </c>
      <c r="E468" t="s">
        <v>142</v>
      </c>
      <c r="F468" t="s">
        <v>2258</v>
      </c>
      <c r="G468" t="s">
        <v>2259</v>
      </c>
      <c r="H468" t="s">
        <v>22</v>
      </c>
      <c r="I468" t="s">
        <v>23</v>
      </c>
      <c r="J468" t="s">
        <v>77</v>
      </c>
      <c r="K468" t="s">
        <v>78</v>
      </c>
      <c r="L468">
        <v>76106</v>
      </c>
      <c r="M468" t="s">
        <v>79</v>
      </c>
      <c r="N468" t="s">
        <v>1449</v>
      </c>
      <c r="O468" t="s">
        <v>28</v>
      </c>
      <c r="P468" t="s">
        <v>55</v>
      </c>
      <c r="Q468" t="s">
        <v>1450</v>
      </c>
      <c r="R468">
        <v>1988</v>
      </c>
    </row>
    <row r="469" spans="1:18" x14ac:dyDescent="0.3">
      <c r="A469" t="s">
        <v>2260</v>
      </c>
      <c r="B469" s="1">
        <v>42273</v>
      </c>
      <c r="C469" s="1">
        <v>42278</v>
      </c>
      <c r="D469" s="1">
        <v>42248</v>
      </c>
      <c r="E469" t="s">
        <v>19</v>
      </c>
      <c r="F469" t="s">
        <v>2261</v>
      </c>
      <c r="G469" t="s">
        <v>2262</v>
      </c>
      <c r="H469" t="s">
        <v>22</v>
      </c>
      <c r="I469" t="s">
        <v>23</v>
      </c>
      <c r="J469" t="s">
        <v>35</v>
      </c>
      <c r="K469" t="s">
        <v>36</v>
      </c>
      <c r="L469">
        <v>90049</v>
      </c>
      <c r="M469" t="s">
        <v>37</v>
      </c>
      <c r="N469" t="s">
        <v>2263</v>
      </c>
      <c r="O469" t="s">
        <v>28</v>
      </c>
      <c r="P469" t="s">
        <v>119</v>
      </c>
      <c r="Q469" t="s">
        <v>2264</v>
      </c>
      <c r="R469">
        <v>145568</v>
      </c>
    </row>
    <row r="470" spans="1:18" x14ac:dyDescent="0.3">
      <c r="A470" t="s">
        <v>2265</v>
      </c>
      <c r="B470" s="1">
        <v>43414</v>
      </c>
      <c r="C470" s="1">
        <v>43415</v>
      </c>
      <c r="D470" s="1">
        <v>43405</v>
      </c>
      <c r="E470" t="s">
        <v>142</v>
      </c>
      <c r="F470" t="s">
        <v>2266</v>
      </c>
      <c r="G470" t="s">
        <v>2267</v>
      </c>
      <c r="H470" t="s">
        <v>34</v>
      </c>
      <c r="I470" t="s">
        <v>23</v>
      </c>
      <c r="J470" t="s">
        <v>872</v>
      </c>
      <c r="K470" t="s">
        <v>232</v>
      </c>
      <c r="L470">
        <v>85705</v>
      </c>
      <c r="M470" t="s">
        <v>37</v>
      </c>
      <c r="N470" t="s">
        <v>1546</v>
      </c>
      <c r="O470" t="s">
        <v>39</v>
      </c>
      <c r="P470" t="s">
        <v>71</v>
      </c>
      <c r="Q470" t="s">
        <v>1547</v>
      </c>
      <c r="R470">
        <v>38388</v>
      </c>
    </row>
    <row r="471" spans="1:18" x14ac:dyDescent="0.3">
      <c r="A471" t="s">
        <v>2268</v>
      </c>
      <c r="B471" s="1">
        <v>43166</v>
      </c>
      <c r="C471" s="1">
        <v>43171</v>
      </c>
      <c r="D471" s="1">
        <v>43160</v>
      </c>
      <c r="E471" t="s">
        <v>43</v>
      </c>
      <c r="F471" t="s">
        <v>2269</v>
      </c>
      <c r="G471" t="s">
        <v>2270</v>
      </c>
      <c r="H471" t="s">
        <v>76</v>
      </c>
      <c r="I471" t="s">
        <v>23</v>
      </c>
      <c r="J471" t="s">
        <v>2271</v>
      </c>
      <c r="K471" t="s">
        <v>1743</v>
      </c>
      <c r="L471">
        <v>20735</v>
      </c>
      <c r="M471" t="s">
        <v>117</v>
      </c>
      <c r="N471" t="s">
        <v>2272</v>
      </c>
      <c r="O471" t="s">
        <v>147</v>
      </c>
      <c r="P471" t="s">
        <v>180</v>
      </c>
      <c r="Q471" t="s">
        <v>2273</v>
      </c>
      <c r="R471">
        <v>4908</v>
      </c>
    </row>
    <row r="472" spans="1:18" x14ac:dyDescent="0.3">
      <c r="A472" t="s">
        <v>2274</v>
      </c>
      <c r="B472" s="1">
        <v>42095</v>
      </c>
      <c r="C472" s="1">
        <v>42100</v>
      </c>
      <c r="D472" s="1">
        <v>42095</v>
      </c>
      <c r="E472" t="s">
        <v>19</v>
      </c>
      <c r="F472" t="s">
        <v>218</v>
      </c>
      <c r="G472" t="s">
        <v>219</v>
      </c>
      <c r="H472" t="s">
        <v>22</v>
      </c>
      <c r="I472" t="s">
        <v>23</v>
      </c>
      <c r="J472" t="s">
        <v>1339</v>
      </c>
      <c r="K472" t="s">
        <v>36</v>
      </c>
      <c r="L472">
        <v>94591</v>
      </c>
      <c r="M472" t="s">
        <v>37</v>
      </c>
      <c r="N472" t="s">
        <v>2275</v>
      </c>
      <c r="O472" t="s">
        <v>39</v>
      </c>
      <c r="P472" t="s">
        <v>40</v>
      </c>
      <c r="Q472" t="s">
        <v>2276</v>
      </c>
      <c r="R472">
        <v>296</v>
      </c>
    </row>
    <row r="473" spans="1:18" x14ac:dyDescent="0.3">
      <c r="A473" t="s">
        <v>2277</v>
      </c>
      <c r="B473" s="1">
        <v>42627</v>
      </c>
      <c r="C473" s="1">
        <v>42632</v>
      </c>
      <c r="D473" s="1">
        <v>42614</v>
      </c>
      <c r="E473" t="s">
        <v>43</v>
      </c>
      <c r="F473" t="s">
        <v>2278</v>
      </c>
      <c r="G473" t="s">
        <v>2279</v>
      </c>
      <c r="H473" t="s">
        <v>22</v>
      </c>
      <c r="I473" t="s">
        <v>23</v>
      </c>
      <c r="J473" t="s">
        <v>2280</v>
      </c>
      <c r="K473" t="s">
        <v>95</v>
      </c>
      <c r="L473">
        <v>84604</v>
      </c>
      <c r="M473" t="s">
        <v>37</v>
      </c>
      <c r="N473" t="s">
        <v>2281</v>
      </c>
      <c r="O473" t="s">
        <v>28</v>
      </c>
      <c r="P473" t="s">
        <v>49</v>
      </c>
      <c r="Q473" t="s">
        <v>2282</v>
      </c>
      <c r="R473">
        <v>91275</v>
      </c>
    </row>
    <row r="474" spans="1:18" x14ac:dyDescent="0.3">
      <c r="A474" t="s">
        <v>2283</v>
      </c>
      <c r="B474" s="1">
        <v>42220</v>
      </c>
      <c r="C474" s="1">
        <v>42225</v>
      </c>
      <c r="D474" s="1">
        <v>42217</v>
      </c>
      <c r="E474" t="s">
        <v>19</v>
      </c>
      <c r="F474" t="s">
        <v>632</v>
      </c>
      <c r="G474" t="s">
        <v>633</v>
      </c>
      <c r="H474" t="s">
        <v>22</v>
      </c>
      <c r="I474" t="s">
        <v>23</v>
      </c>
      <c r="J474" t="s">
        <v>2284</v>
      </c>
      <c r="K474" t="s">
        <v>95</v>
      </c>
      <c r="L474">
        <v>84062</v>
      </c>
      <c r="M474" t="s">
        <v>37</v>
      </c>
      <c r="N474" t="s">
        <v>2285</v>
      </c>
      <c r="O474" t="s">
        <v>39</v>
      </c>
      <c r="P474" t="s">
        <v>81</v>
      </c>
      <c r="Q474" t="s">
        <v>2286</v>
      </c>
      <c r="R474">
        <v>108975</v>
      </c>
    </row>
    <row r="475" spans="1:18" x14ac:dyDescent="0.3">
      <c r="A475" t="s">
        <v>2287</v>
      </c>
      <c r="B475" s="1">
        <v>42771</v>
      </c>
      <c r="C475" s="1">
        <v>42771</v>
      </c>
      <c r="D475" s="1">
        <v>42767</v>
      </c>
      <c r="E475" t="s">
        <v>857</v>
      </c>
      <c r="F475" t="s">
        <v>2288</v>
      </c>
      <c r="G475" t="s">
        <v>2289</v>
      </c>
      <c r="H475" t="s">
        <v>76</v>
      </c>
      <c r="I475" t="s">
        <v>23</v>
      </c>
      <c r="J475" t="s">
        <v>2290</v>
      </c>
      <c r="K475" t="s">
        <v>845</v>
      </c>
      <c r="L475">
        <v>30080</v>
      </c>
      <c r="M475" t="s">
        <v>26</v>
      </c>
      <c r="N475" t="s">
        <v>2291</v>
      </c>
      <c r="O475" t="s">
        <v>39</v>
      </c>
      <c r="P475" t="s">
        <v>89</v>
      </c>
      <c r="Q475" t="s">
        <v>2292</v>
      </c>
      <c r="R475">
        <v>8098</v>
      </c>
    </row>
    <row r="476" spans="1:18" x14ac:dyDescent="0.3">
      <c r="A476" t="s">
        <v>2293</v>
      </c>
      <c r="B476" s="1">
        <v>43040</v>
      </c>
      <c r="C476" s="1">
        <v>43044</v>
      </c>
      <c r="D476" s="1">
        <v>43040</v>
      </c>
      <c r="E476" t="s">
        <v>43</v>
      </c>
      <c r="F476" t="s">
        <v>2294</v>
      </c>
      <c r="G476" t="s">
        <v>2295</v>
      </c>
      <c r="H476" t="s">
        <v>76</v>
      </c>
      <c r="I476" t="s">
        <v>23</v>
      </c>
      <c r="J476" t="s">
        <v>1275</v>
      </c>
      <c r="K476" t="s">
        <v>239</v>
      </c>
      <c r="L476">
        <v>24153</v>
      </c>
      <c r="M476" t="s">
        <v>26</v>
      </c>
      <c r="N476" t="s">
        <v>2296</v>
      </c>
      <c r="O476" t="s">
        <v>147</v>
      </c>
      <c r="P476" t="s">
        <v>148</v>
      </c>
      <c r="Q476" t="s">
        <v>2297</v>
      </c>
      <c r="R476">
        <v>218</v>
      </c>
    </row>
    <row r="477" spans="1:18" x14ac:dyDescent="0.3">
      <c r="A477" t="s">
        <v>2298</v>
      </c>
      <c r="B477" s="1">
        <v>42844</v>
      </c>
      <c r="C477" s="1">
        <v>42850</v>
      </c>
      <c r="D477" s="1">
        <v>42826</v>
      </c>
      <c r="E477" t="s">
        <v>43</v>
      </c>
      <c r="F477" t="s">
        <v>294</v>
      </c>
      <c r="G477" t="s">
        <v>295</v>
      </c>
      <c r="H477" t="s">
        <v>76</v>
      </c>
      <c r="I477" t="s">
        <v>23</v>
      </c>
      <c r="J477" t="s">
        <v>376</v>
      </c>
      <c r="K477" t="s">
        <v>377</v>
      </c>
      <c r="L477">
        <v>43229</v>
      </c>
      <c r="M477" t="s">
        <v>117</v>
      </c>
      <c r="N477" t="s">
        <v>2299</v>
      </c>
      <c r="O477" t="s">
        <v>28</v>
      </c>
      <c r="P477" t="s">
        <v>49</v>
      </c>
      <c r="Q477" t="s">
        <v>2300</v>
      </c>
      <c r="R477">
        <v>205176</v>
      </c>
    </row>
    <row r="478" spans="1:18" x14ac:dyDescent="0.3">
      <c r="A478" t="s">
        <v>2301</v>
      </c>
      <c r="B478" s="1">
        <v>42980</v>
      </c>
      <c r="C478" s="1">
        <v>42984</v>
      </c>
      <c r="D478" s="1">
        <v>42979</v>
      </c>
      <c r="E478" t="s">
        <v>43</v>
      </c>
      <c r="F478" t="s">
        <v>236</v>
      </c>
      <c r="G478" t="s">
        <v>237</v>
      </c>
      <c r="H478" t="s">
        <v>22</v>
      </c>
      <c r="I478" t="s">
        <v>23</v>
      </c>
      <c r="J478" t="s">
        <v>206</v>
      </c>
      <c r="K478" t="s">
        <v>207</v>
      </c>
      <c r="L478">
        <v>10024</v>
      </c>
      <c r="M478" t="s">
        <v>117</v>
      </c>
      <c r="N478" t="s">
        <v>2302</v>
      </c>
      <c r="O478" t="s">
        <v>39</v>
      </c>
      <c r="P478" t="s">
        <v>103</v>
      </c>
      <c r="Q478" t="s">
        <v>2303</v>
      </c>
      <c r="R478">
        <v>7548</v>
      </c>
    </row>
    <row r="479" spans="1:18" x14ac:dyDescent="0.3">
      <c r="A479" t="s">
        <v>2304</v>
      </c>
      <c r="B479" s="1">
        <v>43003</v>
      </c>
      <c r="C479" s="1">
        <v>43008</v>
      </c>
      <c r="D479" s="1">
        <v>42979</v>
      </c>
      <c r="E479" t="s">
        <v>43</v>
      </c>
      <c r="F479" t="s">
        <v>2305</v>
      </c>
      <c r="G479" t="s">
        <v>2306</v>
      </c>
      <c r="H479" t="s">
        <v>22</v>
      </c>
      <c r="I479" t="s">
        <v>23</v>
      </c>
      <c r="J479" t="s">
        <v>405</v>
      </c>
      <c r="K479" t="s">
        <v>232</v>
      </c>
      <c r="L479">
        <v>85023</v>
      </c>
      <c r="M479" t="s">
        <v>37</v>
      </c>
      <c r="N479" t="s">
        <v>1813</v>
      </c>
      <c r="O479" t="s">
        <v>28</v>
      </c>
      <c r="P479" t="s">
        <v>49</v>
      </c>
      <c r="Q479" t="s">
        <v>1814</v>
      </c>
      <c r="R479">
        <v>393165</v>
      </c>
    </row>
    <row r="480" spans="1:18" x14ac:dyDescent="0.3">
      <c r="A480" t="s">
        <v>2307</v>
      </c>
      <c r="B480" s="1">
        <v>42925</v>
      </c>
      <c r="C480" s="1">
        <v>42929</v>
      </c>
      <c r="D480" s="1">
        <v>42917</v>
      </c>
      <c r="E480" t="s">
        <v>43</v>
      </c>
      <c r="F480" t="s">
        <v>424</v>
      </c>
      <c r="G480" t="s">
        <v>425</v>
      </c>
      <c r="H480" t="s">
        <v>34</v>
      </c>
      <c r="I480" t="s">
        <v>23</v>
      </c>
      <c r="J480" t="s">
        <v>206</v>
      </c>
      <c r="K480" t="s">
        <v>207</v>
      </c>
      <c r="L480">
        <v>10035</v>
      </c>
      <c r="M480" t="s">
        <v>117</v>
      </c>
      <c r="N480" t="s">
        <v>1556</v>
      </c>
      <c r="O480" t="s">
        <v>28</v>
      </c>
      <c r="P480" t="s">
        <v>119</v>
      </c>
      <c r="Q480" t="s">
        <v>1557</v>
      </c>
      <c r="R480">
        <v>408006</v>
      </c>
    </row>
    <row r="481" spans="1:18" x14ac:dyDescent="0.3">
      <c r="A481" t="s">
        <v>2308</v>
      </c>
      <c r="B481" s="1">
        <v>42185</v>
      </c>
      <c r="C481" s="1">
        <v>42190</v>
      </c>
      <c r="D481" s="1">
        <v>42156</v>
      </c>
      <c r="E481" t="s">
        <v>43</v>
      </c>
      <c r="F481" t="s">
        <v>2309</v>
      </c>
      <c r="G481" t="s">
        <v>2310</v>
      </c>
      <c r="H481" t="s">
        <v>22</v>
      </c>
      <c r="I481" t="s">
        <v>23</v>
      </c>
      <c r="J481" t="s">
        <v>206</v>
      </c>
      <c r="K481" t="s">
        <v>207</v>
      </c>
      <c r="L481">
        <v>10024</v>
      </c>
      <c r="M481" t="s">
        <v>117</v>
      </c>
      <c r="N481" t="s">
        <v>2311</v>
      </c>
      <c r="O481" t="s">
        <v>39</v>
      </c>
      <c r="P481" t="s">
        <v>71</v>
      </c>
      <c r="Q481" t="s">
        <v>2312</v>
      </c>
      <c r="R481">
        <v>334768</v>
      </c>
    </row>
    <row r="482" spans="1:18" x14ac:dyDescent="0.3">
      <c r="A482" t="s">
        <v>2313</v>
      </c>
      <c r="B482" s="1">
        <v>43128</v>
      </c>
      <c r="C482" s="1">
        <v>43131</v>
      </c>
      <c r="D482" s="1">
        <v>43101</v>
      </c>
      <c r="E482" t="s">
        <v>19</v>
      </c>
      <c r="F482" t="s">
        <v>2314</v>
      </c>
      <c r="G482" t="s">
        <v>2315</v>
      </c>
      <c r="H482" t="s">
        <v>76</v>
      </c>
      <c r="I482" t="s">
        <v>23</v>
      </c>
      <c r="J482" t="s">
        <v>1112</v>
      </c>
      <c r="K482" t="s">
        <v>36</v>
      </c>
      <c r="L482">
        <v>92627</v>
      </c>
      <c r="M482" t="s">
        <v>37</v>
      </c>
      <c r="N482" t="s">
        <v>2316</v>
      </c>
      <c r="O482" t="s">
        <v>147</v>
      </c>
      <c r="P482" t="s">
        <v>180</v>
      </c>
      <c r="Q482" t="s">
        <v>2317</v>
      </c>
      <c r="R482">
        <v>23997</v>
      </c>
    </row>
    <row r="483" spans="1:18" x14ac:dyDescent="0.3">
      <c r="A483" t="s">
        <v>2318</v>
      </c>
      <c r="B483" s="1">
        <v>42634</v>
      </c>
      <c r="C483" s="1">
        <v>42637</v>
      </c>
      <c r="D483" s="1">
        <v>42614</v>
      </c>
      <c r="E483" t="s">
        <v>142</v>
      </c>
      <c r="F483" t="s">
        <v>2319</v>
      </c>
      <c r="G483" t="s">
        <v>2320</v>
      </c>
      <c r="H483" t="s">
        <v>34</v>
      </c>
      <c r="I483" t="s">
        <v>23</v>
      </c>
      <c r="J483" t="s">
        <v>138</v>
      </c>
      <c r="K483" t="s">
        <v>78</v>
      </c>
      <c r="L483">
        <v>77041</v>
      </c>
      <c r="M483" t="s">
        <v>79</v>
      </c>
      <c r="N483" t="s">
        <v>2321</v>
      </c>
      <c r="O483" t="s">
        <v>147</v>
      </c>
      <c r="P483" t="s">
        <v>148</v>
      </c>
      <c r="Q483" t="s">
        <v>2322</v>
      </c>
      <c r="R483">
        <v>946344</v>
      </c>
    </row>
    <row r="484" spans="1:18" x14ac:dyDescent="0.3">
      <c r="A484" t="s">
        <v>2323</v>
      </c>
      <c r="B484" s="1">
        <v>43095</v>
      </c>
      <c r="C484" s="1">
        <v>43099</v>
      </c>
      <c r="D484" s="1">
        <v>43070</v>
      </c>
      <c r="E484" t="s">
        <v>43</v>
      </c>
      <c r="F484" t="s">
        <v>1245</v>
      </c>
      <c r="G484" t="s">
        <v>1246</v>
      </c>
      <c r="H484" t="s">
        <v>22</v>
      </c>
      <c r="I484" t="s">
        <v>23</v>
      </c>
      <c r="J484" t="s">
        <v>68</v>
      </c>
      <c r="K484" t="s">
        <v>69</v>
      </c>
      <c r="L484">
        <v>98105</v>
      </c>
      <c r="M484" t="s">
        <v>37</v>
      </c>
      <c r="N484" t="s">
        <v>2324</v>
      </c>
      <c r="O484" t="s">
        <v>39</v>
      </c>
      <c r="P484" t="s">
        <v>63</v>
      </c>
      <c r="Q484" t="s">
        <v>2325</v>
      </c>
      <c r="R484">
        <v>339</v>
      </c>
    </row>
    <row r="485" spans="1:18" x14ac:dyDescent="0.3">
      <c r="A485" t="s">
        <v>2326</v>
      </c>
      <c r="B485" s="1">
        <v>43202</v>
      </c>
      <c r="C485" s="1">
        <v>43205</v>
      </c>
      <c r="D485" s="1">
        <v>43191</v>
      </c>
      <c r="E485" t="s">
        <v>19</v>
      </c>
      <c r="F485" t="s">
        <v>2327</v>
      </c>
      <c r="G485" t="s">
        <v>2328</v>
      </c>
      <c r="H485" t="s">
        <v>22</v>
      </c>
      <c r="I485" t="s">
        <v>23</v>
      </c>
      <c r="J485" t="s">
        <v>2329</v>
      </c>
      <c r="K485" t="s">
        <v>941</v>
      </c>
      <c r="L485">
        <v>2908</v>
      </c>
      <c r="M485" t="s">
        <v>117</v>
      </c>
      <c r="N485" t="s">
        <v>2330</v>
      </c>
      <c r="O485" t="s">
        <v>39</v>
      </c>
      <c r="P485" t="s">
        <v>71</v>
      </c>
      <c r="Q485" t="s">
        <v>805</v>
      </c>
      <c r="R485">
        <v>297</v>
      </c>
    </row>
    <row r="486" spans="1:18" x14ac:dyDescent="0.3">
      <c r="A486" t="s">
        <v>2331</v>
      </c>
      <c r="B486" s="1">
        <v>43453</v>
      </c>
      <c r="C486" s="1">
        <v>43458</v>
      </c>
      <c r="D486" s="1">
        <v>43435</v>
      </c>
      <c r="E486" t="s">
        <v>19</v>
      </c>
      <c r="F486" t="s">
        <v>2332</v>
      </c>
      <c r="G486" t="s">
        <v>2333</v>
      </c>
      <c r="H486" t="s">
        <v>22</v>
      </c>
      <c r="I486" t="s">
        <v>23</v>
      </c>
      <c r="J486" t="s">
        <v>101</v>
      </c>
      <c r="K486" t="s">
        <v>36</v>
      </c>
      <c r="L486">
        <v>94110</v>
      </c>
      <c r="M486" t="s">
        <v>37</v>
      </c>
      <c r="N486" t="s">
        <v>2334</v>
      </c>
      <c r="O486" t="s">
        <v>39</v>
      </c>
      <c r="P486" t="s">
        <v>71</v>
      </c>
      <c r="Q486" t="s">
        <v>2335</v>
      </c>
      <c r="R486">
        <v>36672</v>
      </c>
    </row>
    <row r="487" spans="1:18" x14ac:dyDescent="0.3">
      <c r="A487" t="s">
        <v>2336</v>
      </c>
      <c r="B487" s="1">
        <v>43317</v>
      </c>
      <c r="C487" s="1">
        <v>43320</v>
      </c>
      <c r="D487" s="1">
        <v>43313</v>
      </c>
      <c r="E487" t="s">
        <v>142</v>
      </c>
      <c r="F487" t="s">
        <v>2337</v>
      </c>
      <c r="G487" t="s">
        <v>2338</v>
      </c>
      <c r="H487" t="s">
        <v>34</v>
      </c>
      <c r="I487" t="s">
        <v>23</v>
      </c>
      <c r="J487" t="s">
        <v>1269</v>
      </c>
      <c r="K487" t="s">
        <v>25</v>
      </c>
      <c r="L487">
        <v>40475</v>
      </c>
      <c r="M487" t="s">
        <v>26</v>
      </c>
      <c r="N487" t="s">
        <v>2339</v>
      </c>
      <c r="O487" t="s">
        <v>39</v>
      </c>
      <c r="P487" t="s">
        <v>63</v>
      </c>
      <c r="Q487" t="s">
        <v>2340</v>
      </c>
      <c r="R487">
        <v>1376</v>
      </c>
    </row>
    <row r="488" spans="1:18" x14ac:dyDescent="0.3">
      <c r="A488" t="s">
        <v>2341</v>
      </c>
      <c r="B488" s="1">
        <v>42644</v>
      </c>
      <c r="C488" s="1">
        <v>42649</v>
      </c>
      <c r="D488" s="1">
        <v>42644</v>
      </c>
      <c r="E488" t="s">
        <v>43</v>
      </c>
      <c r="F488" t="s">
        <v>2342</v>
      </c>
      <c r="G488" t="s">
        <v>2343</v>
      </c>
      <c r="H488" t="s">
        <v>34</v>
      </c>
      <c r="I488" t="s">
        <v>23</v>
      </c>
      <c r="J488" t="s">
        <v>345</v>
      </c>
      <c r="K488" t="s">
        <v>346</v>
      </c>
      <c r="L488">
        <v>80013</v>
      </c>
      <c r="M488" t="s">
        <v>37</v>
      </c>
      <c r="N488" t="s">
        <v>1258</v>
      </c>
      <c r="O488" t="s">
        <v>39</v>
      </c>
      <c r="P488" t="s">
        <v>89</v>
      </c>
      <c r="Q488" t="s">
        <v>1259</v>
      </c>
      <c r="R488">
        <v>139424</v>
      </c>
    </row>
    <row r="489" spans="1:18" x14ac:dyDescent="0.3">
      <c r="A489" t="s">
        <v>2344</v>
      </c>
      <c r="B489" s="1">
        <v>43264</v>
      </c>
      <c r="C489" s="1">
        <v>43267</v>
      </c>
      <c r="D489" s="1">
        <v>43252</v>
      </c>
      <c r="E489" t="s">
        <v>142</v>
      </c>
      <c r="F489" t="s">
        <v>988</v>
      </c>
      <c r="G489" t="s">
        <v>989</v>
      </c>
      <c r="H489" t="s">
        <v>76</v>
      </c>
      <c r="I489" t="s">
        <v>23</v>
      </c>
      <c r="J489" t="s">
        <v>225</v>
      </c>
      <c r="K489" t="s">
        <v>160</v>
      </c>
      <c r="L489">
        <v>60653</v>
      </c>
      <c r="M489" t="s">
        <v>79</v>
      </c>
      <c r="N489" t="s">
        <v>2345</v>
      </c>
      <c r="O489" t="s">
        <v>39</v>
      </c>
      <c r="P489" t="s">
        <v>89</v>
      </c>
      <c r="Q489" t="s">
        <v>2346</v>
      </c>
      <c r="R489">
        <v>164736</v>
      </c>
    </row>
    <row r="490" spans="1:18" x14ac:dyDescent="0.3">
      <c r="A490" t="s">
        <v>2347</v>
      </c>
      <c r="B490" s="1">
        <v>42117</v>
      </c>
      <c r="C490" s="1">
        <v>42118</v>
      </c>
      <c r="D490" s="1">
        <v>42095</v>
      </c>
      <c r="E490" t="s">
        <v>142</v>
      </c>
      <c r="F490" t="s">
        <v>1957</v>
      </c>
      <c r="G490" t="s">
        <v>1958</v>
      </c>
      <c r="H490" t="s">
        <v>34</v>
      </c>
      <c r="I490" t="s">
        <v>23</v>
      </c>
      <c r="J490" t="s">
        <v>115</v>
      </c>
      <c r="K490" t="s">
        <v>116</v>
      </c>
      <c r="L490">
        <v>19134</v>
      </c>
      <c r="M490" t="s">
        <v>117</v>
      </c>
      <c r="N490" t="s">
        <v>2348</v>
      </c>
      <c r="O490" t="s">
        <v>39</v>
      </c>
      <c r="P490" t="s">
        <v>71</v>
      </c>
      <c r="Q490" t="s">
        <v>2349</v>
      </c>
      <c r="R490">
        <v>2502</v>
      </c>
    </row>
    <row r="491" spans="1:18" x14ac:dyDescent="0.3">
      <c r="A491" t="s">
        <v>2350</v>
      </c>
      <c r="B491" s="1">
        <v>42491</v>
      </c>
      <c r="C491" s="1">
        <v>42497</v>
      </c>
      <c r="D491" s="1">
        <v>42491</v>
      </c>
      <c r="E491" t="s">
        <v>43</v>
      </c>
      <c r="F491" t="s">
        <v>511</v>
      </c>
      <c r="G491" t="s">
        <v>512</v>
      </c>
      <c r="H491" t="s">
        <v>34</v>
      </c>
      <c r="I491" t="s">
        <v>23</v>
      </c>
      <c r="J491" t="s">
        <v>35</v>
      </c>
      <c r="K491" t="s">
        <v>36</v>
      </c>
      <c r="L491">
        <v>90008</v>
      </c>
      <c r="M491" t="s">
        <v>37</v>
      </c>
      <c r="N491" t="s">
        <v>2351</v>
      </c>
      <c r="O491" t="s">
        <v>147</v>
      </c>
      <c r="P491" t="s">
        <v>148</v>
      </c>
      <c r="Q491" t="s">
        <v>2352</v>
      </c>
      <c r="R491">
        <v>88752</v>
      </c>
    </row>
    <row r="492" spans="1:18" x14ac:dyDescent="0.3">
      <c r="A492" t="s">
        <v>2353</v>
      </c>
      <c r="B492" s="1">
        <v>42570</v>
      </c>
      <c r="C492" s="1">
        <v>42571</v>
      </c>
      <c r="D492" s="1">
        <v>42552</v>
      </c>
      <c r="E492" t="s">
        <v>142</v>
      </c>
      <c r="F492" t="s">
        <v>2354</v>
      </c>
      <c r="G492" t="s">
        <v>2355</v>
      </c>
      <c r="H492" t="s">
        <v>22</v>
      </c>
      <c r="I492" t="s">
        <v>23</v>
      </c>
      <c r="J492" t="s">
        <v>405</v>
      </c>
      <c r="K492" t="s">
        <v>232</v>
      </c>
      <c r="L492">
        <v>85023</v>
      </c>
      <c r="M492" t="s">
        <v>37</v>
      </c>
      <c r="N492" t="s">
        <v>2356</v>
      </c>
      <c r="O492" t="s">
        <v>39</v>
      </c>
      <c r="P492" t="s">
        <v>71</v>
      </c>
      <c r="Q492" t="s">
        <v>2357</v>
      </c>
      <c r="R492">
        <v>2025</v>
      </c>
    </row>
    <row r="493" spans="1:18" x14ac:dyDescent="0.3">
      <c r="A493" t="s">
        <v>2358</v>
      </c>
      <c r="B493" s="1">
        <v>43065</v>
      </c>
      <c r="C493" s="1">
        <v>43068</v>
      </c>
      <c r="D493" s="1">
        <v>43040</v>
      </c>
      <c r="E493" t="s">
        <v>142</v>
      </c>
      <c r="F493" t="s">
        <v>2359</v>
      </c>
      <c r="G493" t="s">
        <v>2360</v>
      </c>
      <c r="H493" t="s">
        <v>34</v>
      </c>
      <c r="I493" t="s">
        <v>23</v>
      </c>
      <c r="J493" t="s">
        <v>2361</v>
      </c>
      <c r="K493" t="s">
        <v>1180</v>
      </c>
      <c r="L493">
        <v>36608</v>
      </c>
      <c r="M493" t="s">
        <v>26</v>
      </c>
      <c r="N493" t="s">
        <v>2362</v>
      </c>
      <c r="O493" t="s">
        <v>39</v>
      </c>
      <c r="P493" t="s">
        <v>63</v>
      </c>
      <c r="Q493" t="s">
        <v>140</v>
      </c>
      <c r="R493">
        <v>7098</v>
      </c>
    </row>
    <row r="494" spans="1:18" x14ac:dyDescent="0.3">
      <c r="A494" t="s">
        <v>2363</v>
      </c>
      <c r="B494" s="1">
        <v>43263</v>
      </c>
      <c r="C494" s="1">
        <v>43270</v>
      </c>
      <c r="D494" s="1">
        <v>43252</v>
      </c>
      <c r="E494" t="s">
        <v>43</v>
      </c>
      <c r="F494" t="s">
        <v>2364</v>
      </c>
      <c r="G494" t="s">
        <v>2365</v>
      </c>
      <c r="H494" t="s">
        <v>76</v>
      </c>
      <c r="I494" t="s">
        <v>23</v>
      </c>
      <c r="J494" t="s">
        <v>376</v>
      </c>
      <c r="K494" t="s">
        <v>845</v>
      </c>
      <c r="L494">
        <v>31907</v>
      </c>
      <c r="M494" t="s">
        <v>26</v>
      </c>
      <c r="N494" t="s">
        <v>2366</v>
      </c>
      <c r="O494" t="s">
        <v>39</v>
      </c>
      <c r="P494" t="s">
        <v>71</v>
      </c>
      <c r="Q494" t="s">
        <v>2367</v>
      </c>
      <c r="R494">
        <v>912</v>
      </c>
    </row>
    <row r="495" spans="1:18" x14ac:dyDescent="0.3">
      <c r="A495" t="s">
        <v>2368</v>
      </c>
      <c r="B495" s="1">
        <v>42599</v>
      </c>
      <c r="C495" s="1">
        <v>42603</v>
      </c>
      <c r="D495" s="1">
        <v>42583</v>
      </c>
      <c r="E495" t="s">
        <v>43</v>
      </c>
      <c r="F495" t="s">
        <v>2342</v>
      </c>
      <c r="G495" t="s">
        <v>2343</v>
      </c>
      <c r="H495" t="s">
        <v>34</v>
      </c>
      <c r="I495" t="s">
        <v>23</v>
      </c>
      <c r="J495" t="s">
        <v>2369</v>
      </c>
      <c r="K495" t="s">
        <v>829</v>
      </c>
      <c r="L495">
        <v>2740</v>
      </c>
      <c r="M495" t="s">
        <v>117</v>
      </c>
      <c r="N495" t="s">
        <v>861</v>
      </c>
      <c r="O495" t="s">
        <v>39</v>
      </c>
      <c r="P495" t="s">
        <v>71</v>
      </c>
      <c r="Q495" t="s">
        <v>862</v>
      </c>
      <c r="R495">
        <v>522</v>
      </c>
    </row>
    <row r="496" spans="1:18" x14ac:dyDescent="0.3">
      <c r="A496" t="s">
        <v>2370</v>
      </c>
      <c r="B496" s="1">
        <v>42705</v>
      </c>
      <c r="C496" s="1">
        <v>42712</v>
      </c>
      <c r="D496" s="1">
        <v>42705</v>
      </c>
      <c r="E496" t="s">
        <v>43</v>
      </c>
      <c r="F496" t="s">
        <v>588</v>
      </c>
      <c r="G496" t="s">
        <v>589</v>
      </c>
      <c r="H496" t="s">
        <v>22</v>
      </c>
      <c r="I496" t="s">
        <v>23</v>
      </c>
      <c r="J496" t="s">
        <v>68</v>
      </c>
      <c r="K496" t="s">
        <v>69</v>
      </c>
      <c r="L496">
        <v>98103</v>
      </c>
      <c r="M496" t="s">
        <v>37</v>
      </c>
      <c r="N496" t="s">
        <v>2371</v>
      </c>
      <c r="O496" t="s">
        <v>39</v>
      </c>
      <c r="P496" t="s">
        <v>71</v>
      </c>
      <c r="Q496" t="s">
        <v>2372</v>
      </c>
      <c r="R496">
        <v>55424</v>
      </c>
    </row>
    <row r="497" spans="1:18" x14ac:dyDescent="0.3">
      <c r="A497" t="s">
        <v>2373</v>
      </c>
      <c r="B497" s="1">
        <v>42506</v>
      </c>
      <c r="C497" s="1">
        <v>42506</v>
      </c>
      <c r="D497" s="1">
        <v>42491</v>
      </c>
      <c r="E497" t="s">
        <v>857</v>
      </c>
      <c r="F497" t="s">
        <v>1439</v>
      </c>
      <c r="G497" t="s">
        <v>1440</v>
      </c>
      <c r="H497" t="s">
        <v>76</v>
      </c>
      <c r="I497" t="s">
        <v>23</v>
      </c>
      <c r="J497" t="s">
        <v>1007</v>
      </c>
      <c r="K497" t="s">
        <v>47</v>
      </c>
      <c r="L497">
        <v>32216</v>
      </c>
      <c r="M497" t="s">
        <v>26</v>
      </c>
      <c r="N497" t="s">
        <v>1629</v>
      </c>
      <c r="O497" t="s">
        <v>147</v>
      </c>
      <c r="P497" t="s">
        <v>180</v>
      </c>
      <c r="Q497" t="s">
        <v>1630</v>
      </c>
      <c r="R497">
        <v>255968</v>
      </c>
    </row>
    <row r="498" spans="1:18" x14ac:dyDescent="0.3">
      <c r="A498" t="s">
        <v>2374</v>
      </c>
      <c r="B498" s="1">
        <v>42637</v>
      </c>
      <c r="C498" s="1">
        <v>42640</v>
      </c>
      <c r="D498" s="1">
        <v>42614</v>
      </c>
      <c r="E498" t="s">
        <v>19</v>
      </c>
      <c r="F498" t="s">
        <v>175</v>
      </c>
      <c r="G498" t="s">
        <v>176</v>
      </c>
      <c r="H498" t="s">
        <v>34</v>
      </c>
      <c r="I498" t="s">
        <v>23</v>
      </c>
      <c r="J498" t="s">
        <v>115</v>
      </c>
      <c r="K498" t="s">
        <v>116</v>
      </c>
      <c r="L498">
        <v>19120</v>
      </c>
      <c r="M498" t="s">
        <v>117</v>
      </c>
      <c r="N498" t="s">
        <v>2375</v>
      </c>
      <c r="O498" t="s">
        <v>39</v>
      </c>
      <c r="P498" t="s">
        <v>103</v>
      </c>
      <c r="Q498" t="s">
        <v>2376</v>
      </c>
      <c r="R498">
        <v>6848</v>
      </c>
    </row>
    <row r="499" spans="1:18" x14ac:dyDescent="0.3">
      <c r="A499" t="s">
        <v>2377</v>
      </c>
      <c r="B499" s="1">
        <v>43292</v>
      </c>
      <c r="C499" s="1">
        <v>43296</v>
      </c>
      <c r="D499" s="1">
        <v>43282</v>
      </c>
      <c r="E499" t="s">
        <v>43</v>
      </c>
      <c r="F499" t="s">
        <v>2378</v>
      </c>
      <c r="G499" t="s">
        <v>2379</v>
      </c>
      <c r="H499" t="s">
        <v>34</v>
      </c>
      <c r="I499" t="s">
        <v>23</v>
      </c>
      <c r="J499" t="s">
        <v>35</v>
      </c>
      <c r="K499" t="s">
        <v>36</v>
      </c>
      <c r="L499">
        <v>90004</v>
      </c>
      <c r="M499" t="s">
        <v>37</v>
      </c>
      <c r="N499" t="s">
        <v>1676</v>
      </c>
      <c r="O499" t="s">
        <v>39</v>
      </c>
      <c r="P499" t="s">
        <v>40</v>
      </c>
      <c r="Q499" t="s">
        <v>1677</v>
      </c>
      <c r="R499">
        <v>867</v>
      </c>
    </row>
    <row r="500" spans="1:18" x14ac:dyDescent="0.3">
      <c r="A500" t="s">
        <v>2380</v>
      </c>
      <c r="B500" s="1">
        <v>43178</v>
      </c>
      <c r="C500" s="1">
        <v>43183</v>
      </c>
      <c r="D500" s="1">
        <v>43160</v>
      </c>
      <c r="E500" t="s">
        <v>43</v>
      </c>
      <c r="F500" t="s">
        <v>2381</v>
      </c>
      <c r="G500" t="s">
        <v>2382</v>
      </c>
      <c r="H500" t="s">
        <v>76</v>
      </c>
      <c r="I500" t="s">
        <v>23</v>
      </c>
      <c r="J500" t="s">
        <v>206</v>
      </c>
      <c r="K500" t="s">
        <v>207</v>
      </c>
      <c r="L500">
        <v>10024</v>
      </c>
      <c r="M500" t="s">
        <v>117</v>
      </c>
      <c r="N500" t="s">
        <v>2383</v>
      </c>
      <c r="O500" t="s">
        <v>39</v>
      </c>
      <c r="P500" t="s">
        <v>40</v>
      </c>
      <c r="Q500" t="s">
        <v>2384</v>
      </c>
      <c r="R500">
        <v>2891</v>
      </c>
    </row>
    <row r="501" spans="1:18" x14ac:dyDescent="0.3">
      <c r="A501" t="s">
        <v>2385</v>
      </c>
      <c r="B501" s="1">
        <v>43071</v>
      </c>
      <c r="C501" s="1">
        <v>43077</v>
      </c>
      <c r="D501" s="1">
        <v>43070</v>
      </c>
      <c r="E501" t="s">
        <v>43</v>
      </c>
      <c r="F501" t="s">
        <v>1005</v>
      </c>
      <c r="G501" t="s">
        <v>1006</v>
      </c>
      <c r="H501" t="s">
        <v>22</v>
      </c>
      <c r="I501" t="s">
        <v>23</v>
      </c>
      <c r="J501" t="s">
        <v>101</v>
      </c>
      <c r="K501" t="s">
        <v>36</v>
      </c>
      <c r="L501">
        <v>94122</v>
      </c>
      <c r="M501" t="s">
        <v>37</v>
      </c>
      <c r="N501" t="s">
        <v>2386</v>
      </c>
      <c r="O501" t="s">
        <v>39</v>
      </c>
      <c r="P501" t="s">
        <v>63</v>
      </c>
      <c r="Q501" t="s">
        <v>2387</v>
      </c>
      <c r="R501">
        <v>2592</v>
      </c>
    </row>
    <row r="502" spans="1:18" x14ac:dyDescent="0.3">
      <c r="A502" t="s">
        <v>2388</v>
      </c>
      <c r="B502" s="1">
        <v>43022</v>
      </c>
      <c r="C502" s="1">
        <v>43026</v>
      </c>
      <c r="D502" s="1">
        <v>43009</v>
      </c>
      <c r="E502" t="s">
        <v>43</v>
      </c>
      <c r="F502" t="s">
        <v>1519</v>
      </c>
      <c r="G502" t="s">
        <v>1520</v>
      </c>
      <c r="H502" t="s">
        <v>34</v>
      </c>
      <c r="I502" t="s">
        <v>23</v>
      </c>
      <c r="J502" t="s">
        <v>68</v>
      </c>
      <c r="K502" t="s">
        <v>69</v>
      </c>
      <c r="L502">
        <v>98115</v>
      </c>
      <c r="M502" t="s">
        <v>37</v>
      </c>
      <c r="N502" t="s">
        <v>2389</v>
      </c>
      <c r="O502" t="s">
        <v>147</v>
      </c>
      <c r="P502" t="s">
        <v>180</v>
      </c>
      <c r="Q502" t="s">
        <v>2390</v>
      </c>
      <c r="R502">
        <v>177</v>
      </c>
    </row>
    <row r="503" spans="1:18" x14ac:dyDescent="0.3">
      <c r="A503" t="s">
        <v>2391</v>
      </c>
      <c r="B503" s="1">
        <v>42335</v>
      </c>
      <c r="C503" s="1">
        <v>42341</v>
      </c>
      <c r="D503" s="1">
        <v>42309</v>
      </c>
      <c r="E503" t="s">
        <v>43</v>
      </c>
      <c r="F503" t="s">
        <v>2392</v>
      </c>
      <c r="G503" t="s">
        <v>2393</v>
      </c>
      <c r="H503" t="s">
        <v>22</v>
      </c>
      <c r="I503" t="s">
        <v>23</v>
      </c>
      <c r="J503" t="s">
        <v>206</v>
      </c>
      <c r="K503" t="s">
        <v>207</v>
      </c>
      <c r="L503">
        <v>10035</v>
      </c>
      <c r="M503" t="s">
        <v>117</v>
      </c>
      <c r="N503" t="s">
        <v>2394</v>
      </c>
      <c r="O503" t="s">
        <v>39</v>
      </c>
      <c r="P503" t="s">
        <v>209</v>
      </c>
      <c r="Q503" t="s">
        <v>1159</v>
      </c>
      <c r="R503">
        <v>376</v>
      </c>
    </row>
    <row r="504" spans="1:18" x14ac:dyDescent="0.3">
      <c r="A504" t="s">
        <v>2395</v>
      </c>
      <c r="B504" s="1">
        <v>42677</v>
      </c>
      <c r="C504" s="1">
        <v>42681</v>
      </c>
      <c r="D504" s="1">
        <v>42675</v>
      </c>
      <c r="E504" t="s">
        <v>43</v>
      </c>
      <c r="F504" t="s">
        <v>2396</v>
      </c>
      <c r="G504" t="s">
        <v>2397</v>
      </c>
      <c r="H504" t="s">
        <v>76</v>
      </c>
      <c r="I504" t="s">
        <v>23</v>
      </c>
      <c r="J504" t="s">
        <v>35</v>
      </c>
      <c r="K504" t="s">
        <v>36</v>
      </c>
      <c r="L504">
        <v>90008</v>
      </c>
      <c r="M504" t="s">
        <v>37</v>
      </c>
      <c r="N504" t="s">
        <v>2398</v>
      </c>
      <c r="O504" t="s">
        <v>147</v>
      </c>
      <c r="P504" t="s">
        <v>148</v>
      </c>
      <c r="Q504" t="s">
        <v>2399</v>
      </c>
      <c r="R504">
        <v>1212848</v>
      </c>
    </row>
    <row r="505" spans="1:18" x14ac:dyDescent="0.3">
      <c r="A505" t="s">
        <v>2400</v>
      </c>
      <c r="B505" s="1">
        <v>42337</v>
      </c>
      <c r="C505" s="1">
        <v>42344</v>
      </c>
      <c r="D505" s="1">
        <v>42309</v>
      </c>
      <c r="E505" t="s">
        <v>43</v>
      </c>
      <c r="F505" t="s">
        <v>2401</v>
      </c>
      <c r="G505" t="s">
        <v>2402</v>
      </c>
      <c r="H505" t="s">
        <v>22</v>
      </c>
      <c r="I505" t="s">
        <v>23</v>
      </c>
      <c r="J505" t="s">
        <v>115</v>
      </c>
      <c r="K505" t="s">
        <v>116</v>
      </c>
      <c r="L505">
        <v>19143</v>
      </c>
      <c r="M505" t="s">
        <v>117</v>
      </c>
      <c r="N505" t="s">
        <v>2403</v>
      </c>
      <c r="O505" t="s">
        <v>39</v>
      </c>
      <c r="P505" t="s">
        <v>40</v>
      </c>
      <c r="Q505" t="s">
        <v>2404</v>
      </c>
      <c r="R505">
        <v>504</v>
      </c>
    </row>
    <row r="506" spans="1:18" x14ac:dyDescent="0.3">
      <c r="A506" t="s">
        <v>2405</v>
      </c>
      <c r="B506" s="1">
        <v>43220</v>
      </c>
      <c r="C506" s="1">
        <v>43225</v>
      </c>
      <c r="D506" s="1">
        <v>43191</v>
      </c>
      <c r="E506" t="s">
        <v>19</v>
      </c>
      <c r="F506" t="s">
        <v>2011</v>
      </c>
      <c r="G506" t="s">
        <v>2012</v>
      </c>
      <c r="H506" t="s">
        <v>34</v>
      </c>
      <c r="I506" t="s">
        <v>23</v>
      </c>
      <c r="J506" t="s">
        <v>206</v>
      </c>
      <c r="K506" t="s">
        <v>207</v>
      </c>
      <c r="L506">
        <v>10024</v>
      </c>
      <c r="M506" t="s">
        <v>117</v>
      </c>
      <c r="N506" t="s">
        <v>153</v>
      </c>
      <c r="O506" t="s">
        <v>39</v>
      </c>
      <c r="P506" t="s">
        <v>154</v>
      </c>
      <c r="Q506" t="s">
        <v>155</v>
      </c>
      <c r="R506">
        <v>6296</v>
      </c>
    </row>
    <row r="507" spans="1:18" x14ac:dyDescent="0.3">
      <c r="A507" t="s">
        <v>2406</v>
      </c>
      <c r="B507" s="1">
        <v>43403</v>
      </c>
      <c r="C507" s="1">
        <v>43407</v>
      </c>
      <c r="D507" s="1">
        <v>43374</v>
      </c>
      <c r="E507" t="s">
        <v>43</v>
      </c>
      <c r="F507" t="s">
        <v>2407</v>
      </c>
      <c r="G507" t="s">
        <v>2408</v>
      </c>
      <c r="H507" t="s">
        <v>34</v>
      </c>
      <c r="I507" t="s">
        <v>23</v>
      </c>
      <c r="J507" t="s">
        <v>1887</v>
      </c>
      <c r="K507" t="s">
        <v>69</v>
      </c>
      <c r="L507">
        <v>98661</v>
      </c>
      <c r="M507" t="s">
        <v>37</v>
      </c>
      <c r="N507" t="s">
        <v>2409</v>
      </c>
      <c r="O507" t="s">
        <v>28</v>
      </c>
      <c r="P507" t="s">
        <v>55</v>
      </c>
      <c r="Q507" t="s">
        <v>2410</v>
      </c>
      <c r="R507">
        <v>964</v>
      </c>
    </row>
    <row r="508" spans="1:18" x14ac:dyDescent="0.3">
      <c r="A508" t="s">
        <v>2411</v>
      </c>
      <c r="B508" s="1">
        <v>42355</v>
      </c>
      <c r="C508" s="1">
        <v>42357</v>
      </c>
      <c r="D508" s="1">
        <v>42339</v>
      </c>
      <c r="E508" t="s">
        <v>19</v>
      </c>
      <c r="F508" t="s">
        <v>960</v>
      </c>
      <c r="G508" t="s">
        <v>961</v>
      </c>
      <c r="H508" t="s">
        <v>22</v>
      </c>
      <c r="I508" t="s">
        <v>23</v>
      </c>
      <c r="J508" t="s">
        <v>376</v>
      </c>
      <c r="K508" t="s">
        <v>845</v>
      </c>
      <c r="L508">
        <v>31907</v>
      </c>
      <c r="M508" t="s">
        <v>26</v>
      </c>
      <c r="N508" t="s">
        <v>1994</v>
      </c>
      <c r="O508" t="s">
        <v>39</v>
      </c>
      <c r="P508" t="s">
        <v>103</v>
      </c>
      <c r="Q508" t="s">
        <v>1995</v>
      </c>
      <c r="R508">
        <v>4005</v>
      </c>
    </row>
    <row r="509" spans="1:18" x14ac:dyDescent="0.3">
      <c r="A509" t="s">
        <v>2412</v>
      </c>
      <c r="B509" s="1">
        <v>43347</v>
      </c>
      <c r="C509" s="1">
        <v>43351</v>
      </c>
      <c r="D509" s="1">
        <v>43344</v>
      </c>
      <c r="E509" t="s">
        <v>43</v>
      </c>
      <c r="F509" t="s">
        <v>2413</v>
      </c>
      <c r="G509" t="s">
        <v>2414</v>
      </c>
      <c r="H509" t="s">
        <v>22</v>
      </c>
      <c r="I509" t="s">
        <v>23</v>
      </c>
      <c r="J509" t="s">
        <v>2415</v>
      </c>
      <c r="K509" t="s">
        <v>78</v>
      </c>
      <c r="L509">
        <v>75019</v>
      </c>
      <c r="M509" t="s">
        <v>79</v>
      </c>
      <c r="N509" t="s">
        <v>2043</v>
      </c>
      <c r="O509" t="s">
        <v>39</v>
      </c>
      <c r="P509" t="s">
        <v>103</v>
      </c>
      <c r="Q509" t="s">
        <v>2044</v>
      </c>
      <c r="R509">
        <v>10192</v>
      </c>
    </row>
    <row r="510" spans="1:18" x14ac:dyDescent="0.3">
      <c r="A510" t="s">
        <v>2416</v>
      </c>
      <c r="B510" s="1">
        <v>43025</v>
      </c>
      <c r="C510" s="1">
        <v>43028</v>
      </c>
      <c r="D510" s="1">
        <v>43009</v>
      </c>
      <c r="E510" t="s">
        <v>142</v>
      </c>
      <c r="F510" t="s">
        <v>463</v>
      </c>
      <c r="G510" t="s">
        <v>464</v>
      </c>
      <c r="H510" t="s">
        <v>76</v>
      </c>
      <c r="I510" t="s">
        <v>23</v>
      </c>
      <c r="J510" t="s">
        <v>101</v>
      </c>
      <c r="K510" t="s">
        <v>36</v>
      </c>
      <c r="L510">
        <v>94122</v>
      </c>
      <c r="M510" t="s">
        <v>37</v>
      </c>
      <c r="N510" t="s">
        <v>2417</v>
      </c>
      <c r="O510" t="s">
        <v>39</v>
      </c>
      <c r="P510" t="s">
        <v>71</v>
      </c>
      <c r="Q510" t="s">
        <v>2418</v>
      </c>
      <c r="R510">
        <v>1816</v>
      </c>
    </row>
    <row r="511" spans="1:18" x14ac:dyDescent="0.3">
      <c r="A511" t="s">
        <v>2419</v>
      </c>
      <c r="B511" s="1">
        <v>42583</v>
      </c>
      <c r="C511" s="1">
        <v>42589</v>
      </c>
      <c r="D511" s="1">
        <v>42583</v>
      </c>
      <c r="E511" t="s">
        <v>43</v>
      </c>
      <c r="F511" t="s">
        <v>2420</v>
      </c>
      <c r="G511" t="s">
        <v>2421</v>
      </c>
      <c r="H511" t="s">
        <v>76</v>
      </c>
      <c r="I511" t="s">
        <v>23</v>
      </c>
      <c r="J511" t="s">
        <v>35</v>
      </c>
      <c r="K511" t="s">
        <v>36</v>
      </c>
      <c r="L511">
        <v>90004</v>
      </c>
      <c r="M511" t="s">
        <v>37</v>
      </c>
      <c r="N511" t="s">
        <v>2422</v>
      </c>
      <c r="O511" t="s">
        <v>39</v>
      </c>
      <c r="P511" t="s">
        <v>103</v>
      </c>
      <c r="Q511" t="s">
        <v>2423</v>
      </c>
      <c r="R511">
        <v>672</v>
      </c>
    </row>
    <row r="512" spans="1:18" x14ac:dyDescent="0.3">
      <c r="A512" t="s">
        <v>2424</v>
      </c>
      <c r="B512" s="1">
        <v>43355</v>
      </c>
      <c r="C512" s="1">
        <v>43358</v>
      </c>
      <c r="D512" s="1">
        <v>43344</v>
      </c>
      <c r="E512" t="s">
        <v>142</v>
      </c>
      <c r="F512" t="s">
        <v>2425</v>
      </c>
      <c r="G512" t="s">
        <v>2426</v>
      </c>
      <c r="H512" t="s">
        <v>22</v>
      </c>
      <c r="I512" t="s">
        <v>23</v>
      </c>
      <c r="J512" t="s">
        <v>35</v>
      </c>
      <c r="K512" t="s">
        <v>36</v>
      </c>
      <c r="L512">
        <v>90036</v>
      </c>
      <c r="M512" t="s">
        <v>37</v>
      </c>
      <c r="N512" t="s">
        <v>2427</v>
      </c>
      <c r="O512" t="s">
        <v>28</v>
      </c>
      <c r="P512" t="s">
        <v>55</v>
      </c>
      <c r="Q512" t="s">
        <v>2428</v>
      </c>
      <c r="R512">
        <v>836</v>
      </c>
    </row>
    <row r="513" spans="1:18" x14ac:dyDescent="0.3">
      <c r="A513" t="s">
        <v>2429</v>
      </c>
      <c r="B513" s="1">
        <v>42038</v>
      </c>
      <c r="C513" s="1">
        <v>42041</v>
      </c>
      <c r="D513" s="1">
        <v>42036</v>
      </c>
      <c r="E513" t="s">
        <v>19</v>
      </c>
      <c r="F513" t="s">
        <v>2430</v>
      </c>
      <c r="G513" t="s">
        <v>2431</v>
      </c>
      <c r="H513" t="s">
        <v>22</v>
      </c>
      <c r="I513" t="s">
        <v>23</v>
      </c>
      <c r="J513" t="s">
        <v>68</v>
      </c>
      <c r="K513" t="s">
        <v>69</v>
      </c>
      <c r="L513">
        <v>98105</v>
      </c>
      <c r="M513" t="s">
        <v>37</v>
      </c>
      <c r="N513" t="s">
        <v>783</v>
      </c>
      <c r="O513" t="s">
        <v>39</v>
      </c>
      <c r="P513" t="s">
        <v>71</v>
      </c>
      <c r="Q513" t="s">
        <v>784</v>
      </c>
      <c r="R513">
        <v>8384</v>
      </c>
    </row>
    <row r="514" spans="1:18" x14ac:dyDescent="0.3">
      <c r="A514" t="s">
        <v>2432</v>
      </c>
      <c r="B514" s="1">
        <v>43142</v>
      </c>
      <c r="C514" s="1">
        <v>43145</v>
      </c>
      <c r="D514" s="1">
        <v>43132</v>
      </c>
      <c r="E514" t="s">
        <v>19</v>
      </c>
      <c r="F514" t="s">
        <v>611</v>
      </c>
      <c r="G514" t="s">
        <v>612</v>
      </c>
      <c r="H514" t="s">
        <v>34</v>
      </c>
      <c r="I514" t="s">
        <v>23</v>
      </c>
      <c r="J514" t="s">
        <v>101</v>
      </c>
      <c r="K514" t="s">
        <v>36</v>
      </c>
      <c r="L514">
        <v>94110</v>
      </c>
      <c r="M514" t="s">
        <v>37</v>
      </c>
      <c r="N514" t="s">
        <v>2433</v>
      </c>
      <c r="O514" t="s">
        <v>39</v>
      </c>
      <c r="P514" t="s">
        <v>71</v>
      </c>
      <c r="Q514" t="s">
        <v>2434</v>
      </c>
      <c r="R514">
        <v>21336</v>
      </c>
    </row>
    <row r="515" spans="1:18" x14ac:dyDescent="0.3">
      <c r="A515" t="s">
        <v>2435</v>
      </c>
      <c r="B515" s="1">
        <v>43206</v>
      </c>
      <c r="C515" s="1">
        <v>43211</v>
      </c>
      <c r="D515" s="1">
        <v>43191</v>
      </c>
      <c r="E515" t="s">
        <v>43</v>
      </c>
      <c r="F515" t="s">
        <v>2436</v>
      </c>
      <c r="G515" t="s">
        <v>2437</v>
      </c>
      <c r="H515" t="s">
        <v>76</v>
      </c>
      <c r="I515" t="s">
        <v>23</v>
      </c>
      <c r="J515" t="s">
        <v>225</v>
      </c>
      <c r="K515" t="s">
        <v>160</v>
      </c>
      <c r="L515">
        <v>60610</v>
      </c>
      <c r="M515" t="s">
        <v>79</v>
      </c>
      <c r="N515" t="s">
        <v>2438</v>
      </c>
      <c r="O515" t="s">
        <v>39</v>
      </c>
      <c r="P515" t="s">
        <v>103</v>
      </c>
      <c r="Q515" t="s">
        <v>2439</v>
      </c>
      <c r="R515">
        <v>1652</v>
      </c>
    </row>
    <row r="516" spans="1:18" x14ac:dyDescent="0.3">
      <c r="A516" t="s">
        <v>2440</v>
      </c>
      <c r="B516" s="1">
        <v>42455</v>
      </c>
      <c r="C516" s="1">
        <v>42460</v>
      </c>
      <c r="D516" s="1">
        <v>42430</v>
      </c>
      <c r="E516" t="s">
        <v>43</v>
      </c>
      <c r="F516" t="s">
        <v>1544</v>
      </c>
      <c r="G516" t="s">
        <v>1545</v>
      </c>
      <c r="H516" t="s">
        <v>34</v>
      </c>
      <c r="I516" t="s">
        <v>23</v>
      </c>
      <c r="J516" t="s">
        <v>952</v>
      </c>
      <c r="K516" t="s">
        <v>47</v>
      </c>
      <c r="L516">
        <v>33142</v>
      </c>
      <c r="M516" t="s">
        <v>26</v>
      </c>
      <c r="N516" t="s">
        <v>2441</v>
      </c>
      <c r="O516" t="s">
        <v>39</v>
      </c>
      <c r="P516" t="s">
        <v>63</v>
      </c>
      <c r="Q516" t="s">
        <v>2442</v>
      </c>
      <c r="R516">
        <v>74352</v>
      </c>
    </row>
    <row r="517" spans="1:18" x14ac:dyDescent="0.3">
      <c r="A517" t="s">
        <v>2443</v>
      </c>
      <c r="B517" s="1">
        <v>43343</v>
      </c>
      <c r="C517" s="1">
        <v>43348</v>
      </c>
      <c r="D517" s="1">
        <v>43313</v>
      </c>
      <c r="E517" t="s">
        <v>43</v>
      </c>
      <c r="F517" t="s">
        <v>2444</v>
      </c>
      <c r="G517" t="s">
        <v>2445</v>
      </c>
      <c r="H517" t="s">
        <v>22</v>
      </c>
      <c r="I517" t="s">
        <v>23</v>
      </c>
      <c r="J517" t="s">
        <v>2446</v>
      </c>
      <c r="K517" t="s">
        <v>232</v>
      </c>
      <c r="L517">
        <v>85281</v>
      </c>
      <c r="M517" t="s">
        <v>37</v>
      </c>
      <c r="N517" t="s">
        <v>2447</v>
      </c>
      <c r="O517" t="s">
        <v>39</v>
      </c>
      <c r="P517" t="s">
        <v>89</v>
      </c>
      <c r="Q517" t="s">
        <v>2448</v>
      </c>
      <c r="R517">
        <v>10744</v>
      </c>
    </row>
    <row r="518" spans="1:18" x14ac:dyDescent="0.3">
      <c r="A518" t="s">
        <v>2449</v>
      </c>
      <c r="B518" s="1">
        <v>43141</v>
      </c>
      <c r="C518" s="1">
        <v>43145</v>
      </c>
      <c r="D518" s="1">
        <v>43132</v>
      </c>
      <c r="E518" t="s">
        <v>43</v>
      </c>
      <c r="F518" t="s">
        <v>2450</v>
      </c>
      <c r="G518" t="s">
        <v>2451</v>
      </c>
      <c r="H518" t="s">
        <v>76</v>
      </c>
      <c r="I518" t="s">
        <v>23</v>
      </c>
      <c r="J518" t="s">
        <v>2452</v>
      </c>
      <c r="K518" t="s">
        <v>36</v>
      </c>
      <c r="L518">
        <v>92677</v>
      </c>
      <c r="M518" t="s">
        <v>37</v>
      </c>
      <c r="N518" t="s">
        <v>2453</v>
      </c>
      <c r="O518" t="s">
        <v>28</v>
      </c>
      <c r="P518" t="s">
        <v>29</v>
      </c>
      <c r="Q518" t="s">
        <v>2454</v>
      </c>
      <c r="R518">
        <v>203983</v>
      </c>
    </row>
    <row r="519" spans="1:18" x14ac:dyDescent="0.3">
      <c r="A519" t="s">
        <v>2455</v>
      </c>
      <c r="B519" s="1">
        <v>43037</v>
      </c>
      <c r="C519" s="1">
        <v>43041</v>
      </c>
      <c r="D519" s="1">
        <v>43009</v>
      </c>
      <c r="E519" t="s">
        <v>43</v>
      </c>
      <c r="F519" t="s">
        <v>2456</v>
      </c>
      <c r="G519" t="s">
        <v>2457</v>
      </c>
      <c r="H519" t="s">
        <v>34</v>
      </c>
      <c r="I519" t="s">
        <v>23</v>
      </c>
      <c r="J519" t="s">
        <v>2458</v>
      </c>
      <c r="K519" t="s">
        <v>701</v>
      </c>
      <c r="L519">
        <v>8302</v>
      </c>
      <c r="M519" t="s">
        <v>117</v>
      </c>
      <c r="N519" t="s">
        <v>2459</v>
      </c>
      <c r="O519" t="s">
        <v>39</v>
      </c>
      <c r="P519" t="s">
        <v>89</v>
      </c>
      <c r="Q519" t="s">
        <v>2460</v>
      </c>
      <c r="R519">
        <v>4074</v>
      </c>
    </row>
    <row r="520" spans="1:18" x14ac:dyDescent="0.3">
      <c r="A520" t="s">
        <v>2461</v>
      </c>
      <c r="B520" s="1">
        <v>42074</v>
      </c>
      <c r="C520" s="1">
        <v>42079</v>
      </c>
      <c r="D520" s="1">
        <v>42064</v>
      </c>
      <c r="E520" t="s">
        <v>19</v>
      </c>
      <c r="F520" t="s">
        <v>2462</v>
      </c>
      <c r="G520" t="s">
        <v>2463</v>
      </c>
      <c r="H520" t="s">
        <v>22</v>
      </c>
      <c r="I520" t="s">
        <v>23</v>
      </c>
      <c r="J520" t="s">
        <v>376</v>
      </c>
      <c r="K520" t="s">
        <v>377</v>
      </c>
      <c r="L520">
        <v>43229</v>
      </c>
      <c r="M520" t="s">
        <v>117</v>
      </c>
      <c r="N520" t="s">
        <v>2464</v>
      </c>
      <c r="O520" t="s">
        <v>28</v>
      </c>
      <c r="P520" t="s">
        <v>55</v>
      </c>
      <c r="Q520" t="s">
        <v>1051</v>
      </c>
      <c r="R520">
        <v>832</v>
      </c>
    </row>
    <row r="521" spans="1:18" x14ac:dyDescent="0.3">
      <c r="A521" t="s">
        <v>2465</v>
      </c>
      <c r="B521" s="1">
        <v>42039</v>
      </c>
      <c r="C521" s="1">
        <v>42043</v>
      </c>
      <c r="D521" s="1">
        <v>42036</v>
      </c>
      <c r="E521" t="s">
        <v>43</v>
      </c>
      <c r="F521" t="s">
        <v>2466</v>
      </c>
      <c r="G521" t="s">
        <v>2467</v>
      </c>
      <c r="H521" t="s">
        <v>76</v>
      </c>
      <c r="I521" t="s">
        <v>23</v>
      </c>
      <c r="J521" t="s">
        <v>663</v>
      </c>
      <c r="K521" t="s">
        <v>36</v>
      </c>
      <c r="L521">
        <v>92024</v>
      </c>
      <c r="M521" t="s">
        <v>37</v>
      </c>
      <c r="N521" t="s">
        <v>2468</v>
      </c>
      <c r="O521" t="s">
        <v>39</v>
      </c>
      <c r="P521" t="s">
        <v>71</v>
      </c>
      <c r="Q521" t="s">
        <v>2469</v>
      </c>
      <c r="R521">
        <v>82896</v>
      </c>
    </row>
    <row r="522" spans="1:18" x14ac:dyDescent="0.3">
      <c r="A522" t="s">
        <v>2470</v>
      </c>
      <c r="B522" s="1">
        <v>42369</v>
      </c>
      <c r="C522" s="1">
        <v>42373</v>
      </c>
      <c r="D522" s="1">
        <v>42339</v>
      </c>
      <c r="E522" t="s">
        <v>19</v>
      </c>
      <c r="F522" t="s">
        <v>1750</v>
      </c>
      <c r="G522" t="s">
        <v>1751</v>
      </c>
      <c r="H522" t="s">
        <v>34</v>
      </c>
      <c r="I522" t="s">
        <v>23</v>
      </c>
      <c r="J522" t="s">
        <v>2471</v>
      </c>
      <c r="K522" t="s">
        <v>207</v>
      </c>
      <c r="L522">
        <v>13601</v>
      </c>
      <c r="M522" t="s">
        <v>117</v>
      </c>
      <c r="N522" t="s">
        <v>556</v>
      </c>
      <c r="O522" t="s">
        <v>28</v>
      </c>
      <c r="P522" t="s">
        <v>29</v>
      </c>
      <c r="Q522" t="s">
        <v>557</v>
      </c>
      <c r="R522">
        <v>1573488</v>
      </c>
    </row>
    <row r="523" spans="1:18" x14ac:dyDescent="0.3">
      <c r="A523" t="s">
        <v>2472</v>
      </c>
      <c r="B523" s="1">
        <v>42697</v>
      </c>
      <c r="C523" s="1">
        <v>42701</v>
      </c>
      <c r="D523" s="1">
        <v>42675</v>
      </c>
      <c r="E523" t="s">
        <v>43</v>
      </c>
      <c r="F523" t="s">
        <v>843</v>
      </c>
      <c r="G523" t="s">
        <v>844</v>
      </c>
      <c r="H523" t="s">
        <v>34</v>
      </c>
      <c r="I523" t="s">
        <v>23</v>
      </c>
      <c r="J523" t="s">
        <v>502</v>
      </c>
      <c r="K523" t="s">
        <v>78</v>
      </c>
      <c r="L523">
        <v>78207</v>
      </c>
      <c r="M523" t="s">
        <v>79</v>
      </c>
      <c r="N523" t="s">
        <v>2473</v>
      </c>
      <c r="O523" t="s">
        <v>39</v>
      </c>
      <c r="P523" t="s">
        <v>63</v>
      </c>
      <c r="Q523" t="s">
        <v>2474</v>
      </c>
      <c r="R523">
        <v>33552</v>
      </c>
    </row>
    <row r="524" spans="1:18" x14ac:dyDescent="0.3">
      <c r="A524" t="s">
        <v>2475</v>
      </c>
      <c r="B524" s="1">
        <v>42191</v>
      </c>
      <c r="C524" s="1">
        <v>42193</v>
      </c>
      <c r="D524" s="1">
        <v>42186</v>
      </c>
      <c r="E524" t="s">
        <v>142</v>
      </c>
      <c r="F524" t="s">
        <v>1190</v>
      </c>
      <c r="G524" t="s">
        <v>1191</v>
      </c>
      <c r="H524" t="s">
        <v>22</v>
      </c>
      <c r="I524" t="s">
        <v>23</v>
      </c>
      <c r="J524" t="s">
        <v>206</v>
      </c>
      <c r="K524" t="s">
        <v>207</v>
      </c>
      <c r="L524">
        <v>10011</v>
      </c>
      <c r="M524" t="s">
        <v>117</v>
      </c>
      <c r="N524" t="s">
        <v>2476</v>
      </c>
      <c r="O524" t="s">
        <v>147</v>
      </c>
      <c r="P524" t="s">
        <v>1143</v>
      </c>
      <c r="Q524" t="s">
        <v>2477</v>
      </c>
      <c r="R524">
        <v>559992</v>
      </c>
    </row>
    <row r="525" spans="1:18" x14ac:dyDescent="0.3">
      <c r="A525" t="s">
        <v>2478</v>
      </c>
      <c r="B525" s="1">
        <v>42127</v>
      </c>
      <c r="C525" s="1">
        <v>42129</v>
      </c>
      <c r="D525" s="1">
        <v>42125</v>
      </c>
      <c r="E525" t="s">
        <v>142</v>
      </c>
      <c r="F525" t="s">
        <v>1053</v>
      </c>
      <c r="G525" t="s">
        <v>1054</v>
      </c>
      <c r="H525" t="s">
        <v>76</v>
      </c>
      <c r="I525" t="s">
        <v>23</v>
      </c>
      <c r="J525" t="s">
        <v>2479</v>
      </c>
      <c r="K525" t="s">
        <v>87</v>
      </c>
      <c r="L525">
        <v>54915</v>
      </c>
      <c r="M525" t="s">
        <v>79</v>
      </c>
      <c r="N525" t="s">
        <v>2480</v>
      </c>
      <c r="O525" t="s">
        <v>39</v>
      </c>
      <c r="P525" t="s">
        <v>40</v>
      </c>
      <c r="Q525" t="s">
        <v>2481</v>
      </c>
      <c r="R525">
        <v>2156</v>
      </c>
    </row>
    <row r="526" spans="1:18" x14ac:dyDescent="0.3">
      <c r="A526" t="s">
        <v>2482</v>
      </c>
      <c r="B526" s="1">
        <v>43389</v>
      </c>
      <c r="C526" s="1">
        <v>43394</v>
      </c>
      <c r="D526" s="1">
        <v>43374</v>
      </c>
      <c r="E526" t="s">
        <v>43</v>
      </c>
      <c r="F526" t="s">
        <v>2483</v>
      </c>
      <c r="G526" t="s">
        <v>2484</v>
      </c>
      <c r="H526" t="s">
        <v>22</v>
      </c>
      <c r="I526" t="s">
        <v>23</v>
      </c>
      <c r="J526" t="s">
        <v>1269</v>
      </c>
      <c r="K526" t="s">
        <v>25</v>
      </c>
      <c r="L526">
        <v>40475</v>
      </c>
      <c r="M526" t="s">
        <v>26</v>
      </c>
      <c r="N526" t="s">
        <v>1686</v>
      </c>
      <c r="O526" t="s">
        <v>39</v>
      </c>
      <c r="P526" t="s">
        <v>71</v>
      </c>
      <c r="Q526" t="s">
        <v>1687</v>
      </c>
      <c r="R526">
        <v>12475</v>
      </c>
    </row>
    <row r="527" spans="1:18" x14ac:dyDescent="0.3">
      <c r="A527" t="s">
        <v>2485</v>
      </c>
      <c r="B527" s="1">
        <v>42406</v>
      </c>
      <c r="C527" s="1">
        <v>42413</v>
      </c>
      <c r="D527" s="1">
        <v>42401</v>
      </c>
      <c r="E527" t="s">
        <v>43</v>
      </c>
      <c r="F527" t="s">
        <v>611</v>
      </c>
      <c r="G527" t="s">
        <v>612</v>
      </c>
      <c r="H527" t="s">
        <v>34</v>
      </c>
      <c r="I527" t="s">
        <v>23</v>
      </c>
      <c r="J527" t="s">
        <v>2486</v>
      </c>
      <c r="K527" t="s">
        <v>69</v>
      </c>
      <c r="L527">
        <v>98006</v>
      </c>
      <c r="M527" t="s">
        <v>37</v>
      </c>
      <c r="N527" t="s">
        <v>2487</v>
      </c>
      <c r="O527" t="s">
        <v>39</v>
      </c>
      <c r="P527" t="s">
        <v>103</v>
      </c>
      <c r="Q527" t="s">
        <v>2488</v>
      </c>
      <c r="R527">
        <v>528</v>
      </c>
    </row>
    <row r="528" spans="1:18" x14ac:dyDescent="0.3">
      <c r="A528" t="s">
        <v>2489</v>
      </c>
      <c r="B528" s="1">
        <v>42834</v>
      </c>
      <c r="C528" s="1">
        <v>42838</v>
      </c>
      <c r="D528" s="1">
        <v>42826</v>
      </c>
      <c r="E528" t="s">
        <v>43</v>
      </c>
      <c r="F528" t="s">
        <v>2490</v>
      </c>
      <c r="G528" t="s">
        <v>2491</v>
      </c>
      <c r="H528" t="s">
        <v>34</v>
      </c>
      <c r="I528" t="s">
        <v>23</v>
      </c>
      <c r="J528" t="s">
        <v>68</v>
      </c>
      <c r="K528" t="s">
        <v>69</v>
      </c>
      <c r="L528">
        <v>98103</v>
      </c>
      <c r="M528" t="s">
        <v>37</v>
      </c>
      <c r="N528" t="s">
        <v>1711</v>
      </c>
      <c r="O528" t="s">
        <v>39</v>
      </c>
      <c r="P528" t="s">
        <v>71</v>
      </c>
      <c r="Q528" t="s">
        <v>1712</v>
      </c>
      <c r="R528">
        <v>35352</v>
      </c>
    </row>
    <row r="529" spans="1:18" x14ac:dyDescent="0.3">
      <c r="A529" t="s">
        <v>2492</v>
      </c>
      <c r="B529" s="1">
        <v>42098</v>
      </c>
      <c r="C529" s="1">
        <v>42103</v>
      </c>
      <c r="D529" s="1">
        <v>42095</v>
      </c>
      <c r="E529" t="s">
        <v>43</v>
      </c>
      <c r="F529" t="s">
        <v>1689</v>
      </c>
      <c r="G529" t="s">
        <v>1690</v>
      </c>
      <c r="H529" t="s">
        <v>76</v>
      </c>
      <c r="I529" t="s">
        <v>23</v>
      </c>
      <c r="J529" t="s">
        <v>101</v>
      </c>
      <c r="K529" t="s">
        <v>36</v>
      </c>
      <c r="L529">
        <v>94109</v>
      </c>
      <c r="M529" t="s">
        <v>37</v>
      </c>
      <c r="N529" t="s">
        <v>2493</v>
      </c>
      <c r="O529" t="s">
        <v>39</v>
      </c>
      <c r="P529" t="s">
        <v>40</v>
      </c>
      <c r="Q529" t="s">
        <v>2494</v>
      </c>
      <c r="R529">
        <v>189</v>
      </c>
    </row>
    <row r="530" spans="1:18" x14ac:dyDescent="0.3">
      <c r="A530" t="s">
        <v>2495</v>
      </c>
      <c r="B530" s="1">
        <v>43348</v>
      </c>
      <c r="C530" s="1">
        <v>43349</v>
      </c>
      <c r="D530" s="1">
        <v>43344</v>
      </c>
      <c r="E530" t="s">
        <v>142</v>
      </c>
      <c r="F530" t="s">
        <v>278</v>
      </c>
      <c r="G530" t="s">
        <v>279</v>
      </c>
      <c r="H530" t="s">
        <v>76</v>
      </c>
      <c r="I530" t="s">
        <v>23</v>
      </c>
      <c r="J530" t="s">
        <v>68</v>
      </c>
      <c r="K530" t="s">
        <v>69</v>
      </c>
      <c r="L530">
        <v>98115</v>
      </c>
      <c r="M530" t="s">
        <v>37</v>
      </c>
      <c r="N530" t="s">
        <v>2496</v>
      </c>
      <c r="O530" t="s">
        <v>39</v>
      </c>
      <c r="P530" t="s">
        <v>103</v>
      </c>
      <c r="Q530" t="s">
        <v>2497</v>
      </c>
      <c r="R530">
        <v>278</v>
      </c>
    </row>
    <row r="531" spans="1:18" x14ac:dyDescent="0.3">
      <c r="A531" t="s">
        <v>2498</v>
      </c>
      <c r="B531" s="1">
        <v>42683</v>
      </c>
      <c r="C531" s="1">
        <v>42683</v>
      </c>
      <c r="D531" s="1">
        <v>42675</v>
      </c>
      <c r="E531" t="s">
        <v>857</v>
      </c>
      <c r="F531" t="s">
        <v>2499</v>
      </c>
      <c r="G531" t="s">
        <v>2500</v>
      </c>
      <c r="H531" t="s">
        <v>22</v>
      </c>
      <c r="I531" t="s">
        <v>23</v>
      </c>
      <c r="J531" t="s">
        <v>115</v>
      </c>
      <c r="K531" t="s">
        <v>116</v>
      </c>
      <c r="L531">
        <v>19134</v>
      </c>
      <c r="M531" t="s">
        <v>117</v>
      </c>
      <c r="N531" t="s">
        <v>2501</v>
      </c>
      <c r="O531" t="s">
        <v>39</v>
      </c>
      <c r="P531" t="s">
        <v>63</v>
      </c>
      <c r="Q531" t="s">
        <v>2502</v>
      </c>
      <c r="R531">
        <v>11352</v>
      </c>
    </row>
    <row r="532" spans="1:18" x14ac:dyDescent="0.3">
      <c r="A532" t="s">
        <v>2503</v>
      </c>
      <c r="B532" s="1">
        <v>42067</v>
      </c>
      <c r="C532" s="1">
        <v>42067</v>
      </c>
      <c r="D532" s="1">
        <v>42064</v>
      </c>
      <c r="E532" t="s">
        <v>857</v>
      </c>
      <c r="F532" t="s">
        <v>367</v>
      </c>
      <c r="G532" t="s">
        <v>368</v>
      </c>
      <c r="H532" t="s">
        <v>22</v>
      </c>
      <c r="I532" t="s">
        <v>23</v>
      </c>
      <c r="J532" t="s">
        <v>283</v>
      </c>
      <c r="K532" t="s">
        <v>284</v>
      </c>
      <c r="L532">
        <v>29203</v>
      </c>
      <c r="M532" t="s">
        <v>26</v>
      </c>
      <c r="N532" t="s">
        <v>2504</v>
      </c>
      <c r="O532" t="s">
        <v>39</v>
      </c>
      <c r="P532" t="s">
        <v>89</v>
      </c>
      <c r="Q532" t="s">
        <v>2505</v>
      </c>
      <c r="R532">
        <v>3549</v>
      </c>
    </row>
    <row r="533" spans="1:18" x14ac:dyDescent="0.3">
      <c r="A533" t="s">
        <v>2506</v>
      </c>
      <c r="B533" s="1">
        <v>42448</v>
      </c>
      <c r="C533" s="1">
        <v>42454</v>
      </c>
      <c r="D533" s="1">
        <v>42430</v>
      </c>
      <c r="E533" t="s">
        <v>43</v>
      </c>
      <c r="F533" t="s">
        <v>1425</v>
      </c>
      <c r="G533" t="s">
        <v>1426</v>
      </c>
      <c r="H533" t="s">
        <v>76</v>
      </c>
      <c r="I533" t="s">
        <v>23</v>
      </c>
      <c r="J533" t="s">
        <v>68</v>
      </c>
      <c r="K533" t="s">
        <v>69</v>
      </c>
      <c r="L533">
        <v>98105</v>
      </c>
      <c r="M533" t="s">
        <v>37</v>
      </c>
      <c r="N533" t="s">
        <v>2507</v>
      </c>
      <c r="O533" t="s">
        <v>147</v>
      </c>
      <c r="P533" t="s">
        <v>148</v>
      </c>
      <c r="Q533" t="s">
        <v>2508</v>
      </c>
      <c r="R533">
        <v>453576</v>
      </c>
    </row>
    <row r="534" spans="1:18" x14ac:dyDescent="0.3">
      <c r="A534" t="s">
        <v>2509</v>
      </c>
      <c r="B534" s="1">
        <v>43262</v>
      </c>
      <c r="C534" s="1">
        <v>43262</v>
      </c>
      <c r="D534" s="1">
        <v>43252</v>
      </c>
      <c r="E534" t="s">
        <v>857</v>
      </c>
      <c r="F534" t="s">
        <v>2510</v>
      </c>
      <c r="G534" t="s">
        <v>2511</v>
      </c>
      <c r="H534" t="s">
        <v>22</v>
      </c>
      <c r="I534" t="s">
        <v>23</v>
      </c>
      <c r="J534" t="s">
        <v>35</v>
      </c>
      <c r="K534" t="s">
        <v>36</v>
      </c>
      <c r="L534">
        <v>90004</v>
      </c>
      <c r="M534" t="s">
        <v>37</v>
      </c>
      <c r="N534" t="s">
        <v>2512</v>
      </c>
      <c r="O534" t="s">
        <v>39</v>
      </c>
      <c r="P534" t="s">
        <v>63</v>
      </c>
      <c r="Q534" t="s">
        <v>2513</v>
      </c>
      <c r="R534">
        <v>12297</v>
      </c>
    </row>
    <row r="535" spans="1:18" x14ac:dyDescent="0.3">
      <c r="A535" t="s">
        <v>2514</v>
      </c>
      <c r="B535" s="1">
        <v>42331</v>
      </c>
      <c r="C535" s="1">
        <v>42333</v>
      </c>
      <c r="D535" s="1">
        <v>42309</v>
      </c>
      <c r="E535" t="s">
        <v>142</v>
      </c>
      <c r="F535" t="s">
        <v>1039</v>
      </c>
      <c r="G535" t="s">
        <v>1040</v>
      </c>
      <c r="H535" t="s">
        <v>22</v>
      </c>
      <c r="I535" t="s">
        <v>23</v>
      </c>
      <c r="J535" t="s">
        <v>35</v>
      </c>
      <c r="K535" t="s">
        <v>36</v>
      </c>
      <c r="L535">
        <v>90004</v>
      </c>
      <c r="M535" t="s">
        <v>37</v>
      </c>
      <c r="N535" t="s">
        <v>285</v>
      </c>
      <c r="O535" t="s">
        <v>28</v>
      </c>
      <c r="P535" t="s">
        <v>119</v>
      </c>
      <c r="Q535" t="s">
        <v>286</v>
      </c>
      <c r="R535">
        <v>60392</v>
      </c>
    </row>
    <row r="536" spans="1:18" x14ac:dyDescent="0.3">
      <c r="A536" t="s">
        <v>2515</v>
      </c>
      <c r="B536" s="1">
        <v>42353</v>
      </c>
      <c r="C536" s="1">
        <v>42356</v>
      </c>
      <c r="D536" s="1">
        <v>42339</v>
      </c>
      <c r="E536" t="s">
        <v>142</v>
      </c>
      <c r="F536" t="s">
        <v>2516</v>
      </c>
      <c r="G536" t="s">
        <v>2517</v>
      </c>
      <c r="H536" t="s">
        <v>22</v>
      </c>
      <c r="I536" t="s">
        <v>23</v>
      </c>
      <c r="J536" t="s">
        <v>2518</v>
      </c>
      <c r="K536" t="s">
        <v>78</v>
      </c>
      <c r="L536">
        <v>79907</v>
      </c>
      <c r="M536" t="s">
        <v>79</v>
      </c>
      <c r="N536" t="s">
        <v>2519</v>
      </c>
      <c r="O536" t="s">
        <v>147</v>
      </c>
      <c r="P536" t="s">
        <v>148</v>
      </c>
      <c r="Q536" t="s">
        <v>2520</v>
      </c>
      <c r="R536">
        <v>4068</v>
      </c>
    </row>
    <row r="537" spans="1:18" x14ac:dyDescent="0.3">
      <c r="A537" t="s">
        <v>2521</v>
      </c>
      <c r="B537" s="1">
        <v>42793</v>
      </c>
      <c r="C537" s="1">
        <v>42795</v>
      </c>
      <c r="D537" s="1">
        <v>42767</v>
      </c>
      <c r="E537" t="s">
        <v>142</v>
      </c>
      <c r="F537" t="s">
        <v>1549</v>
      </c>
      <c r="G537" t="s">
        <v>1550</v>
      </c>
      <c r="H537" t="s">
        <v>22</v>
      </c>
      <c r="I537" t="s">
        <v>23</v>
      </c>
      <c r="J537" t="s">
        <v>206</v>
      </c>
      <c r="K537" t="s">
        <v>207</v>
      </c>
      <c r="L537">
        <v>10011</v>
      </c>
      <c r="M537" t="s">
        <v>117</v>
      </c>
      <c r="N537" t="s">
        <v>2522</v>
      </c>
      <c r="O537" t="s">
        <v>39</v>
      </c>
      <c r="P537" t="s">
        <v>81</v>
      </c>
      <c r="Q537" t="s">
        <v>2523</v>
      </c>
      <c r="R537">
        <v>17088</v>
      </c>
    </row>
    <row r="538" spans="1:18" x14ac:dyDescent="0.3">
      <c r="A538" t="s">
        <v>2524</v>
      </c>
      <c r="B538" s="1">
        <v>42867</v>
      </c>
      <c r="C538" s="1">
        <v>42871</v>
      </c>
      <c r="D538" s="1">
        <v>42856</v>
      </c>
      <c r="E538" t="s">
        <v>43</v>
      </c>
      <c r="F538" t="s">
        <v>2525</v>
      </c>
      <c r="G538" t="s">
        <v>2526</v>
      </c>
      <c r="H538" t="s">
        <v>34</v>
      </c>
      <c r="I538" t="s">
        <v>23</v>
      </c>
      <c r="J538" t="s">
        <v>1878</v>
      </c>
      <c r="K538" t="s">
        <v>239</v>
      </c>
      <c r="L538">
        <v>23464</v>
      </c>
      <c r="M538" t="s">
        <v>26</v>
      </c>
      <c r="N538" t="s">
        <v>1125</v>
      </c>
      <c r="O538" t="s">
        <v>39</v>
      </c>
      <c r="P538" t="s">
        <v>103</v>
      </c>
      <c r="Q538" t="s">
        <v>1126</v>
      </c>
      <c r="R538">
        <v>1096</v>
      </c>
    </row>
    <row r="539" spans="1:18" x14ac:dyDescent="0.3">
      <c r="A539" t="s">
        <v>2527</v>
      </c>
      <c r="B539" s="1">
        <v>42544</v>
      </c>
      <c r="C539" s="1">
        <v>42546</v>
      </c>
      <c r="D539" s="1">
        <v>42522</v>
      </c>
      <c r="E539" t="s">
        <v>19</v>
      </c>
      <c r="F539" t="s">
        <v>2528</v>
      </c>
      <c r="G539" t="s">
        <v>2529</v>
      </c>
      <c r="H539" t="s">
        <v>22</v>
      </c>
      <c r="I539" t="s">
        <v>23</v>
      </c>
      <c r="J539" t="s">
        <v>2530</v>
      </c>
      <c r="K539" t="s">
        <v>69</v>
      </c>
      <c r="L539">
        <v>98502</v>
      </c>
      <c r="M539" t="s">
        <v>37</v>
      </c>
      <c r="N539" t="s">
        <v>2531</v>
      </c>
      <c r="O539" t="s">
        <v>147</v>
      </c>
      <c r="P539" t="s">
        <v>148</v>
      </c>
      <c r="Q539" t="s">
        <v>2532</v>
      </c>
      <c r="R539">
        <v>201568</v>
      </c>
    </row>
    <row r="540" spans="1:18" x14ac:dyDescent="0.3">
      <c r="A540" t="s">
        <v>2533</v>
      </c>
      <c r="B540" s="1">
        <v>42296</v>
      </c>
      <c r="C540" s="1">
        <v>42296</v>
      </c>
      <c r="D540" s="1">
        <v>42278</v>
      </c>
      <c r="E540" t="s">
        <v>857</v>
      </c>
      <c r="F540" t="s">
        <v>2444</v>
      </c>
      <c r="G540" t="s">
        <v>2445</v>
      </c>
      <c r="H540" t="s">
        <v>22</v>
      </c>
      <c r="I540" t="s">
        <v>23</v>
      </c>
      <c r="J540" t="s">
        <v>35</v>
      </c>
      <c r="K540" t="s">
        <v>36</v>
      </c>
      <c r="L540">
        <v>90032</v>
      </c>
      <c r="M540" t="s">
        <v>37</v>
      </c>
      <c r="N540" t="s">
        <v>2534</v>
      </c>
      <c r="O540" t="s">
        <v>39</v>
      </c>
      <c r="P540" t="s">
        <v>63</v>
      </c>
      <c r="Q540" t="s">
        <v>2535</v>
      </c>
      <c r="R540">
        <v>1344</v>
      </c>
    </row>
    <row r="541" spans="1:18" x14ac:dyDescent="0.3">
      <c r="A541" t="s">
        <v>2536</v>
      </c>
      <c r="B541" s="1">
        <v>42453</v>
      </c>
      <c r="C541" s="1">
        <v>42456</v>
      </c>
      <c r="D541" s="1">
        <v>42430</v>
      </c>
      <c r="E541" t="s">
        <v>142</v>
      </c>
      <c r="F541" t="s">
        <v>2537</v>
      </c>
      <c r="G541" t="s">
        <v>2538</v>
      </c>
      <c r="H541" t="s">
        <v>76</v>
      </c>
      <c r="I541" t="s">
        <v>23</v>
      </c>
      <c r="J541" t="s">
        <v>927</v>
      </c>
      <c r="K541" t="s">
        <v>160</v>
      </c>
      <c r="L541">
        <v>61604</v>
      </c>
      <c r="M541" t="s">
        <v>79</v>
      </c>
      <c r="N541" t="s">
        <v>2539</v>
      </c>
      <c r="O541" t="s">
        <v>28</v>
      </c>
      <c r="P541" t="s">
        <v>29</v>
      </c>
      <c r="Q541" t="s">
        <v>2540</v>
      </c>
      <c r="R541">
        <v>359058</v>
      </c>
    </row>
    <row r="542" spans="1:18" x14ac:dyDescent="0.3">
      <c r="A542" t="s">
        <v>2541</v>
      </c>
      <c r="B542" s="1">
        <v>43228</v>
      </c>
      <c r="C542" s="1">
        <v>43232</v>
      </c>
      <c r="D542" s="1">
        <v>43221</v>
      </c>
      <c r="E542" t="s">
        <v>43</v>
      </c>
      <c r="F542" t="s">
        <v>2542</v>
      </c>
      <c r="G542" t="s">
        <v>2543</v>
      </c>
      <c r="H542" t="s">
        <v>22</v>
      </c>
      <c r="I542" t="s">
        <v>23</v>
      </c>
      <c r="J542" t="s">
        <v>376</v>
      </c>
      <c r="K542" t="s">
        <v>377</v>
      </c>
      <c r="L542">
        <v>43229</v>
      </c>
      <c r="M542" t="s">
        <v>117</v>
      </c>
      <c r="N542" t="s">
        <v>2544</v>
      </c>
      <c r="O542" t="s">
        <v>28</v>
      </c>
      <c r="P542" t="s">
        <v>119</v>
      </c>
      <c r="Q542" t="s">
        <v>2545</v>
      </c>
      <c r="R542">
        <v>47992</v>
      </c>
    </row>
    <row r="543" spans="1:18" x14ac:dyDescent="0.3">
      <c r="A543" t="s">
        <v>2546</v>
      </c>
      <c r="B543" s="1">
        <v>42863</v>
      </c>
      <c r="C543" s="1">
        <v>42868</v>
      </c>
      <c r="D543" s="1">
        <v>42856</v>
      </c>
      <c r="E543" t="s">
        <v>19</v>
      </c>
      <c r="F543" t="s">
        <v>1762</v>
      </c>
      <c r="G543" t="s">
        <v>1763</v>
      </c>
      <c r="H543" t="s">
        <v>34</v>
      </c>
      <c r="I543" t="s">
        <v>23</v>
      </c>
      <c r="J543" t="s">
        <v>192</v>
      </c>
      <c r="K543" t="s">
        <v>193</v>
      </c>
      <c r="L543">
        <v>19901</v>
      </c>
      <c r="M543" t="s">
        <v>117</v>
      </c>
      <c r="N543" t="s">
        <v>2547</v>
      </c>
      <c r="O543" t="s">
        <v>28</v>
      </c>
      <c r="P543" t="s">
        <v>55</v>
      </c>
      <c r="Q543" t="s">
        <v>2548</v>
      </c>
      <c r="R543">
        <v>21196</v>
      </c>
    </row>
    <row r="544" spans="1:18" x14ac:dyDescent="0.3">
      <c r="A544" t="s">
        <v>2549</v>
      </c>
      <c r="B544" s="1">
        <v>42150</v>
      </c>
      <c r="C544" s="1">
        <v>42154</v>
      </c>
      <c r="D544" s="1">
        <v>42125</v>
      </c>
      <c r="E544" t="s">
        <v>43</v>
      </c>
      <c r="F544" t="s">
        <v>2550</v>
      </c>
      <c r="G544" t="s">
        <v>2551</v>
      </c>
      <c r="H544" t="s">
        <v>34</v>
      </c>
      <c r="I544" t="s">
        <v>23</v>
      </c>
      <c r="J544" t="s">
        <v>35</v>
      </c>
      <c r="K544" t="s">
        <v>36</v>
      </c>
      <c r="L544">
        <v>90008</v>
      </c>
      <c r="M544" t="s">
        <v>37</v>
      </c>
      <c r="N544" t="s">
        <v>2539</v>
      </c>
      <c r="O544" t="s">
        <v>28</v>
      </c>
      <c r="P544" t="s">
        <v>29</v>
      </c>
      <c r="Q544" t="s">
        <v>2540</v>
      </c>
      <c r="R544">
        <v>290666</v>
      </c>
    </row>
    <row r="545" spans="1:18" x14ac:dyDescent="0.3">
      <c r="A545" t="s">
        <v>2552</v>
      </c>
      <c r="B545" s="1">
        <v>42809</v>
      </c>
      <c r="C545" s="1">
        <v>42813</v>
      </c>
      <c r="D545" s="1">
        <v>42795</v>
      </c>
      <c r="E545" t="s">
        <v>43</v>
      </c>
      <c r="F545" t="s">
        <v>2436</v>
      </c>
      <c r="G545" t="s">
        <v>2437</v>
      </c>
      <c r="H545" t="s">
        <v>76</v>
      </c>
      <c r="I545" t="s">
        <v>23</v>
      </c>
      <c r="J545" t="s">
        <v>115</v>
      </c>
      <c r="K545" t="s">
        <v>116</v>
      </c>
      <c r="L545">
        <v>19143</v>
      </c>
      <c r="M545" t="s">
        <v>117</v>
      </c>
      <c r="N545" t="s">
        <v>2553</v>
      </c>
      <c r="O545" t="s">
        <v>147</v>
      </c>
      <c r="P545" t="s">
        <v>180</v>
      </c>
      <c r="Q545" t="s">
        <v>2554</v>
      </c>
      <c r="R545">
        <v>83976</v>
      </c>
    </row>
    <row r="546" spans="1:18" x14ac:dyDescent="0.3">
      <c r="A546" t="s">
        <v>2555</v>
      </c>
      <c r="B546" s="1">
        <v>42592</v>
      </c>
      <c r="C546" s="1">
        <v>42598</v>
      </c>
      <c r="D546" s="1">
        <v>42583</v>
      </c>
      <c r="E546" t="s">
        <v>43</v>
      </c>
      <c r="F546" t="s">
        <v>2556</v>
      </c>
      <c r="G546" t="s">
        <v>2557</v>
      </c>
      <c r="H546" t="s">
        <v>76</v>
      </c>
      <c r="I546" t="s">
        <v>23</v>
      </c>
      <c r="J546" t="s">
        <v>177</v>
      </c>
      <c r="K546" t="s">
        <v>178</v>
      </c>
      <c r="L546">
        <v>55122</v>
      </c>
      <c r="M546" t="s">
        <v>79</v>
      </c>
      <c r="N546" t="s">
        <v>2558</v>
      </c>
      <c r="O546" t="s">
        <v>39</v>
      </c>
      <c r="P546" t="s">
        <v>40</v>
      </c>
      <c r="Q546" t="s">
        <v>2559</v>
      </c>
      <c r="R546">
        <v>375</v>
      </c>
    </row>
    <row r="547" spans="1:18" x14ac:dyDescent="0.3">
      <c r="A547" t="s">
        <v>2560</v>
      </c>
      <c r="B547" s="1">
        <v>42988</v>
      </c>
      <c r="C547" s="1">
        <v>42992</v>
      </c>
      <c r="D547" s="1">
        <v>42979</v>
      </c>
      <c r="E547" t="s">
        <v>19</v>
      </c>
      <c r="F547" t="s">
        <v>317</v>
      </c>
      <c r="G547" t="s">
        <v>318</v>
      </c>
      <c r="H547" t="s">
        <v>76</v>
      </c>
      <c r="I547" t="s">
        <v>23</v>
      </c>
      <c r="J547" t="s">
        <v>206</v>
      </c>
      <c r="K547" t="s">
        <v>207</v>
      </c>
      <c r="L547">
        <v>10011</v>
      </c>
      <c r="M547" t="s">
        <v>117</v>
      </c>
      <c r="N547" t="s">
        <v>2561</v>
      </c>
      <c r="O547" t="s">
        <v>39</v>
      </c>
      <c r="P547" t="s">
        <v>89</v>
      </c>
      <c r="Q547" t="s">
        <v>2562</v>
      </c>
      <c r="R547">
        <v>5948</v>
      </c>
    </row>
    <row r="548" spans="1:18" x14ac:dyDescent="0.3">
      <c r="A548" t="s">
        <v>2563</v>
      </c>
      <c r="B548" s="1">
        <v>42723</v>
      </c>
      <c r="C548" s="1">
        <v>42728</v>
      </c>
      <c r="D548" s="1">
        <v>42705</v>
      </c>
      <c r="E548" t="s">
        <v>43</v>
      </c>
      <c r="F548" t="s">
        <v>2564</v>
      </c>
      <c r="G548" t="s">
        <v>2565</v>
      </c>
      <c r="H548" t="s">
        <v>22</v>
      </c>
      <c r="I548" t="s">
        <v>23</v>
      </c>
      <c r="J548" t="s">
        <v>35</v>
      </c>
      <c r="K548" t="s">
        <v>36</v>
      </c>
      <c r="L548">
        <v>90049</v>
      </c>
      <c r="M548" t="s">
        <v>37</v>
      </c>
      <c r="N548" t="s">
        <v>2321</v>
      </c>
      <c r="O548" t="s">
        <v>147</v>
      </c>
      <c r="P548" t="s">
        <v>148</v>
      </c>
      <c r="Q548" t="s">
        <v>2322</v>
      </c>
      <c r="R548">
        <v>67596</v>
      </c>
    </row>
    <row r="549" spans="1:18" x14ac:dyDescent="0.3">
      <c r="A549" t="s">
        <v>2566</v>
      </c>
      <c r="B549" s="1">
        <v>42690</v>
      </c>
      <c r="C549" s="1">
        <v>42696</v>
      </c>
      <c r="D549" s="1">
        <v>42675</v>
      </c>
      <c r="E549" t="s">
        <v>43</v>
      </c>
      <c r="F549" t="s">
        <v>2567</v>
      </c>
      <c r="G549" t="s">
        <v>2568</v>
      </c>
      <c r="H549" t="s">
        <v>76</v>
      </c>
      <c r="I549" t="s">
        <v>23</v>
      </c>
      <c r="J549" t="s">
        <v>206</v>
      </c>
      <c r="K549" t="s">
        <v>207</v>
      </c>
      <c r="L549">
        <v>10011</v>
      </c>
      <c r="M549" t="s">
        <v>117</v>
      </c>
      <c r="N549" t="s">
        <v>1355</v>
      </c>
      <c r="O549" t="s">
        <v>39</v>
      </c>
      <c r="P549" t="s">
        <v>81</v>
      </c>
      <c r="Q549" t="s">
        <v>1356</v>
      </c>
      <c r="R549">
        <v>52325</v>
      </c>
    </row>
    <row r="550" spans="1:18" x14ac:dyDescent="0.3">
      <c r="A550" t="s">
        <v>2569</v>
      </c>
      <c r="B550" s="1">
        <v>43272</v>
      </c>
      <c r="C550" s="1">
        <v>43276</v>
      </c>
      <c r="D550" s="1">
        <v>43252</v>
      </c>
      <c r="E550" t="s">
        <v>19</v>
      </c>
      <c r="F550" t="s">
        <v>1290</v>
      </c>
      <c r="G550" t="s">
        <v>1291</v>
      </c>
      <c r="H550" t="s">
        <v>22</v>
      </c>
      <c r="I550" t="s">
        <v>23</v>
      </c>
      <c r="J550" t="s">
        <v>1429</v>
      </c>
      <c r="K550" t="s">
        <v>377</v>
      </c>
      <c r="L550">
        <v>44105</v>
      </c>
      <c r="M550" t="s">
        <v>117</v>
      </c>
      <c r="N550" t="s">
        <v>2570</v>
      </c>
      <c r="O550" t="s">
        <v>28</v>
      </c>
      <c r="P550" t="s">
        <v>55</v>
      </c>
      <c r="Q550" t="s">
        <v>2571</v>
      </c>
      <c r="R550">
        <v>1792</v>
      </c>
    </row>
    <row r="551" spans="1:18" x14ac:dyDescent="0.3">
      <c r="A551" t="s">
        <v>2572</v>
      </c>
      <c r="B551" s="1">
        <v>42675</v>
      </c>
      <c r="C551" s="1">
        <v>42677</v>
      </c>
      <c r="D551" s="1">
        <v>42675</v>
      </c>
      <c r="E551" t="s">
        <v>142</v>
      </c>
      <c r="F551" t="s">
        <v>2573</v>
      </c>
      <c r="G551" t="s">
        <v>2574</v>
      </c>
      <c r="H551" t="s">
        <v>76</v>
      </c>
      <c r="I551" t="s">
        <v>23</v>
      </c>
      <c r="J551" t="s">
        <v>115</v>
      </c>
      <c r="K551" t="s">
        <v>116</v>
      </c>
      <c r="L551">
        <v>19140</v>
      </c>
      <c r="M551" t="s">
        <v>117</v>
      </c>
      <c r="N551" t="s">
        <v>545</v>
      </c>
      <c r="O551" t="s">
        <v>147</v>
      </c>
      <c r="P551" t="s">
        <v>180</v>
      </c>
      <c r="Q551" t="s">
        <v>546</v>
      </c>
      <c r="R551">
        <v>3536</v>
      </c>
    </row>
    <row r="552" spans="1:18" x14ac:dyDescent="0.3">
      <c r="A552" t="s">
        <v>2575</v>
      </c>
      <c r="B552" s="1">
        <v>42245</v>
      </c>
      <c r="C552" s="1">
        <v>42245</v>
      </c>
      <c r="D552" s="1">
        <v>42217</v>
      </c>
      <c r="E552" t="s">
        <v>857</v>
      </c>
      <c r="F552" t="s">
        <v>2576</v>
      </c>
      <c r="G552" t="s">
        <v>2577</v>
      </c>
      <c r="H552" t="s">
        <v>34</v>
      </c>
      <c r="I552" t="s">
        <v>23</v>
      </c>
      <c r="J552" t="s">
        <v>101</v>
      </c>
      <c r="K552" t="s">
        <v>36</v>
      </c>
      <c r="L552">
        <v>94110</v>
      </c>
      <c r="M552" t="s">
        <v>37</v>
      </c>
      <c r="N552" t="s">
        <v>2578</v>
      </c>
      <c r="O552" t="s">
        <v>39</v>
      </c>
      <c r="P552" t="s">
        <v>63</v>
      </c>
      <c r="Q552" t="s">
        <v>2579</v>
      </c>
      <c r="R552">
        <v>10992</v>
      </c>
    </row>
    <row r="553" spans="1:18" x14ac:dyDescent="0.3">
      <c r="A553" t="s">
        <v>2580</v>
      </c>
      <c r="B553" s="1">
        <v>43422</v>
      </c>
      <c r="C553" s="1">
        <v>43425</v>
      </c>
      <c r="D553" s="1">
        <v>43405</v>
      </c>
      <c r="E553" t="s">
        <v>142</v>
      </c>
      <c r="F553" t="s">
        <v>2581</v>
      </c>
      <c r="G553" t="s">
        <v>2582</v>
      </c>
      <c r="H553" t="s">
        <v>22</v>
      </c>
      <c r="I553" t="s">
        <v>23</v>
      </c>
      <c r="J553" t="s">
        <v>68</v>
      </c>
      <c r="K553" t="s">
        <v>69</v>
      </c>
      <c r="L553">
        <v>98105</v>
      </c>
      <c r="M553" t="s">
        <v>37</v>
      </c>
      <c r="N553" t="s">
        <v>296</v>
      </c>
      <c r="O553" t="s">
        <v>39</v>
      </c>
      <c r="P553" t="s">
        <v>89</v>
      </c>
      <c r="Q553" t="s">
        <v>297</v>
      </c>
      <c r="R553">
        <v>16968</v>
      </c>
    </row>
    <row r="554" spans="1:18" x14ac:dyDescent="0.3">
      <c r="A554" t="s">
        <v>2583</v>
      </c>
      <c r="B554" s="1">
        <v>42136</v>
      </c>
      <c r="C554" s="1">
        <v>42139</v>
      </c>
      <c r="D554" s="1">
        <v>42125</v>
      </c>
      <c r="E554" t="s">
        <v>142</v>
      </c>
      <c r="F554" t="s">
        <v>1755</v>
      </c>
      <c r="G554" t="s">
        <v>1756</v>
      </c>
      <c r="H554" t="s">
        <v>22</v>
      </c>
      <c r="I554" t="s">
        <v>23</v>
      </c>
      <c r="J554" t="s">
        <v>1614</v>
      </c>
      <c r="K554" t="s">
        <v>87</v>
      </c>
      <c r="L554">
        <v>53209</v>
      </c>
      <c r="M554" t="s">
        <v>79</v>
      </c>
      <c r="N554" t="s">
        <v>1449</v>
      </c>
      <c r="O554" t="s">
        <v>28</v>
      </c>
      <c r="P554" t="s">
        <v>55</v>
      </c>
      <c r="Q554" t="s">
        <v>1450</v>
      </c>
      <c r="R554">
        <v>3479</v>
      </c>
    </row>
    <row r="555" spans="1:18" x14ac:dyDescent="0.3">
      <c r="A555" t="s">
        <v>2584</v>
      </c>
      <c r="B555" s="1">
        <v>42379</v>
      </c>
      <c r="C555" s="1">
        <v>42384</v>
      </c>
      <c r="D555" s="1">
        <v>42370</v>
      </c>
      <c r="E555" t="s">
        <v>43</v>
      </c>
      <c r="F555" t="s">
        <v>2332</v>
      </c>
      <c r="G555" t="s">
        <v>2333</v>
      </c>
      <c r="H555" t="s">
        <v>22</v>
      </c>
      <c r="I555" t="s">
        <v>23</v>
      </c>
      <c r="J555" t="s">
        <v>206</v>
      </c>
      <c r="K555" t="s">
        <v>207</v>
      </c>
      <c r="L555">
        <v>10011</v>
      </c>
      <c r="M555" t="s">
        <v>117</v>
      </c>
      <c r="N555" t="s">
        <v>2585</v>
      </c>
      <c r="O555" t="s">
        <v>28</v>
      </c>
      <c r="P555" t="s">
        <v>49</v>
      </c>
      <c r="Q555" t="s">
        <v>2586</v>
      </c>
      <c r="R555">
        <v>1018104</v>
      </c>
    </row>
    <row r="556" spans="1:18" x14ac:dyDescent="0.3">
      <c r="A556" t="s">
        <v>2587</v>
      </c>
      <c r="B556" s="1">
        <v>42816</v>
      </c>
      <c r="C556" s="1">
        <v>42819</v>
      </c>
      <c r="D556" s="1">
        <v>42795</v>
      </c>
      <c r="E556" t="s">
        <v>142</v>
      </c>
      <c r="F556" t="s">
        <v>2588</v>
      </c>
      <c r="G556" t="s">
        <v>2589</v>
      </c>
      <c r="H556" t="s">
        <v>34</v>
      </c>
      <c r="I556" t="s">
        <v>23</v>
      </c>
      <c r="J556" t="s">
        <v>2590</v>
      </c>
      <c r="K556" t="s">
        <v>934</v>
      </c>
      <c r="L556">
        <v>89031</v>
      </c>
      <c r="M556" t="s">
        <v>37</v>
      </c>
      <c r="N556" t="s">
        <v>2591</v>
      </c>
      <c r="O556" t="s">
        <v>147</v>
      </c>
      <c r="P556" t="s">
        <v>180</v>
      </c>
      <c r="Q556" t="s">
        <v>2592</v>
      </c>
      <c r="R556">
        <v>5858</v>
      </c>
    </row>
    <row r="557" spans="1:18" x14ac:dyDescent="0.3">
      <c r="A557" t="s">
        <v>2593</v>
      </c>
      <c r="B557" s="1">
        <v>42715</v>
      </c>
      <c r="C557" s="1">
        <v>42716</v>
      </c>
      <c r="D557" s="1">
        <v>42705</v>
      </c>
      <c r="E557" t="s">
        <v>142</v>
      </c>
      <c r="F557" t="s">
        <v>2594</v>
      </c>
      <c r="G557" t="s">
        <v>2595</v>
      </c>
      <c r="H557" t="s">
        <v>22</v>
      </c>
      <c r="I557" t="s">
        <v>23</v>
      </c>
      <c r="J557" t="s">
        <v>2596</v>
      </c>
      <c r="K557" t="s">
        <v>239</v>
      </c>
      <c r="L557">
        <v>23434</v>
      </c>
      <c r="M557" t="s">
        <v>26</v>
      </c>
      <c r="N557" t="s">
        <v>2597</v>
      </c>
      <c r="O557" t="s">
        <v>39</v>
      </c>
      <c r="P557" t="s">
        <v>40</v>
      </c>
      <c r="Q557" t="s">
        <v>2598</v>
      </c>
      <c r="R557">
        <v>19662</v>
      </c>
    </row>
    <row r="558" spans="1:18" x14ac:dyDescent="0.3">
      <c r="A558" t="s">
        <v>2599</v>
      </c>
      <c r="B558" s="1">
        <v>42873</v>
      </c>
      <c r="C558" s="1">
        <v>42879</v>
      </c>
      <c r="D558" s="1">
        <v>42856</v>
      </c>
      <c r="E558" t="s">
        <v>43</v>
      </c>
      <c r="F558" t="s">
        <v>2600</v>
      </c>
      <c r="G558" t="s">
        <v>2601</v>
      </c>
      <c r="H558" t="s">
        <v>22</v>
      </c>
      <c r="I558" t="s">
        <v>23</v>
      </c>
      <c r="J558" t="s">
        <v>101</v>
      </c>
      <c r="K558" t="s">
        <v>36</v>
      </c>
      <c r="L558">
        <v>94110</v>
      </c>
      <c r="M558" t="s">
        <v>37</v>
      </c>
      <c r="N558" t="s">
        <v>215</v>
      </c>
      <c r="O558" t="s">
        <v>39</v>
      </c>
      <c r="P558" t="s">
        <v>89</v>
      </c>
      <c r="Q558" t="s">
        <v>216</v>
      </c>
      <c r="R558">
        <v>10428</v>
      </c>
    </row>
    <row r="559" spans="1:18" x14ac:dyDescent="0.3">
      <c r="A559" t="s">
        <v>2602</v>
      </c>
      <c r="B559" s="1">
        <v>42254</v>
      </c>
      <c r="C559" s="1">
        <v>42260</v>
      </c>
      <c r="D559" s="1">
        <v>42248</v>
      </c>
      <c r="E559" t="s">
        <v>43</v>
      </c>
      <c r="F559" t="s">
        <v>677</v>
      </c>
      <c r="G559" t="s">
        <v>678</v>
      </c>
      <c r="H559" t="s">
        <v>34</v>
      </c>
      <c r="I559" t="s">
        <v>23</v>
      </c>
      <c r="J559" t="s">
        <v>115</v>
      </c>
      <c r="K559" t="s">
        <v>116</v>
      </c>
      <c r="L559">
        <v>19134</v>
      </c>
      <c r="M559" t="s">
        <v>117</v>
      </c>
      <c r="N559" t="s">
        <v>2291</v>
      </c>
      <c r="O559" t="s">
        <v>39</v>
      </c>
      <c r="P559" t="s">
        <v>89</v>
      </c>
      <c r="Q559" t="s">
        <v>2292</v>
      </c>
      <c r="R559">
        <v>64784</v>
      </c>
    </row>
    <row r="560" spans="1:18" x14ac:dyDescent="0.3">
      <c r="A560" t="s">
        <v>2603</v>
      </c>
      <c r="B560" s="1">
        <v>43214</v>
      </c>
      <c r="C560" s="1">
        <v>43217</v>
      </c>
      <c r="D560" s="1">
        <v>43191</v>
      </c>
      <c r="E560" t="s">
        <v>142</v>
      </c>
      <c r="F560" t="s">
        <v>2604</v>
      </c>
      <c r="G560" t="s">
        <v>2605</v>
      </c>
      <c r="H560" t="s">
        <v>34</v>
      </c>
      <c r="I560" t="s">
        <v>23</v>
      </c>
      <c r="J560" t="s">
        <v>115</v>
      </c>
      <c r="K560" t="s">
        <v>116</v>
      </c>
      <c r="L560">
        <v>19143</v>
      </c>
      <c r="M560" t="s">
        <v>117</v>
      </c>
      <c r="N560" t="s">
        <v>2606</v>
      </c>
      <c r="O560" t="s">
        <v>39</v>
      </c>
      <c r="P560" t="s">
        <v>81</v>
      </c>
      <c r="Q560" t="s">
        <v>2607</v>
      </c>
      <c r="R560">
        <v>9928</v>
      </c>
    </row>
    <row r="561" spans="1:18" x14ac:dyDescent="0.3">
      <c r="A561" t="s">
        <v>2608</v>
      </c>
      <c r="B561" s="1">
        <v>42232</v>
      </c>
      <c r="C561" s="1">
        <v>42236</v>
      </c>
      <c r="D561" s="1">
        <v>42217</v>
      </c>
      <c r="E561" t="s">
        <v>43</v>
      </c>
      <c r="F561" t="s">
        <v>403</v>
      </c>
      <c r="G561" t="s">
        <v>404</v>
      </c>
      <c r="H561" t="s">
        <v>22</v>
      </c>
      <c r="I561" t="s">
        <v>23</v>
      </c>
      <c r="J561" t="s">
        <v>115</v>
      </c>
      <c r="K561" t="s">
        <v>116</v>
      </c>
      <c r="L561">
        <v>19143</v>
      </c>
      <c r="M561" t="s">
        <v>117</v>
      </c>
      <c r="N561" t="s">
        <v>1032</v>
      </c>
      <c r="O561" t="s">
        <v>28</v>
      </c>
      <c r="P561" t="s">
        <v>49</v>
      </c>
      <c r="Q561" t="s">
        <v>1033</v>
      </c>
      <c r="R561">
        <v>853092</v>
      </c>
    </row>
    <row r="562" spans="1:18" x14ac:dyDescent="0.3">
      <c r="A562" t="s">
        <v>2609</v>
      </c>
      <c r="B562" s="1">
        <v>42808</v>
      </c>
      <c r="C562" s="1">
        <v>42813</v>
      </c>
      <c r="D562" s="1">
        <v>42795</v>
      </c>
      <c r="E562" t="s">
        <v>43</v>
      </c>
      <c r="F562" t="s">
        <v>2610</v>
      </c>
      <c r="G562" t="s">
        <v>2611</v>
      </c>
      <c r="H562" t="s">
        <v>22</v>
      </c>
      <c r="I562" t="s">
        <v>23</v>
      </c>
      <c r="J562" t="s">
        <v>376</v>
      </c>
      <c r="K562" t="s">
        <v>377</v>
      </c>
      <c r="L562">
        <v>43229</v>
      </c>
      <c r="M562" t="s">
        <v>117</v>
      </c>
      <c r="N562" t="s">
        <v>2612</v>
      </c>
      <c r="O562" t="s">
        <v>28</v>
      </c>
      <c r="P562" t="s">
        <v>55</v>
      </c>
      <c r="Q562" t="s">
        <v>2613</v>
      </c>
      <c r="R562">
        <v>2188</v>
      </c>
    </row>
    <row r="563" spans="1:18" x14ac:dyDescent="0.3">
      <c r="A563" t="s">
        <v>2614</v>
      </c>
      <c r="B563" s="1">
        <v>42158</v>
      </c>
      <c r="C563" s="1">
        <v>42162</v>
      </c>
      <c r="D563" s="1">
        <v>42156</v>
      </c>
      <c r="E563" t="s">
        <v>19</v>
      </c>
      <c r="F563" t="s">
        <v>724</v>
      </c>
      <c r="G563" t="s">
        <v>725</v>
      </c>
      <c r="H563" t="s">
        <v>22</v>
      </c>
      <c r="I563" t="s">
        <v>23</v>
      </c>
      <c r="J563" t="s">
        <v>68</v>
      </c>
      <c r="K563" t="s">
        <v>69</v>
      </c>
      <c r="L563">
        <v>98115</v>
      </c>
      <c r="M563" t="s">
        <v>37</v>
      </c>
      <c r="N563" t="s">
        <v>2027</v>
      </c>
      <c r="O563" t="s">
        <v>28</v>
      </c>
      <c r="P563" t="s">
        <v>49</v>
      </c>
      <c r="Q563" t="s">
        <v>2028</v>
      </c>
      <c r="R563">
        <v>51588</v>
      </c>
    </row>
    <row r="564" spans="1:18" x14ac:dyDescent="0.3">
      <c r="A564" t="s">
        <v>2615</v>
      </c>
      <c r="B564" s="1">
        <v>42564</v>
      </c>
      <c r="C564" s="1">
        <v>42566</v>
      </c>
      <c r="D564" s="1">
        <v>42552</v>
      </c>
      <c r="E564" t="s">
        <v>19</v>
      </c>
      <c r="F564" t="s">
        <v>2253</v>
      </c>
      <c r="G564" t="s">
        <v>2254</v>
      </c>
      <c r="H564" t="s">
        <v>22</v>
      </c>
      <c r="I564" t="s">
        <v>23</v>
      </c>
      <c r="J564" t="s">
        <v>206</v>
      </c>
      <c r="K564" t="s">
        <v>207</v>
      </c>
      <c r="L564">
        <v>10035</v>
      </c>
      <c r="M564" t="s">
        <v>117</v>
      </c>
      <c r="N564" t="s">
        <v>2616</v>
      </c>
      <c r="O564" t="s">
        <v>39</v>
      </c>
      <c r="P564" t="s">
        <v>71</v>
      </c>
      <c r="Q564" t="s">
        <v>2617</v>
      </c>
      <c r="R564">
        <v>11808</v>
      </c>
    </row>
    <row r="565" spans="1:18" x14ac:dyDescent="0.3">
      <c r="A565" t="s">
        <v>2618</v>
      </c>
      <c r="B565" s="1">
        <v>42037</v>
      </c>
      <c r="C565" s="1">
        <v>42041</v>
      </c>
      <c r="D565" s="1">
        <v>42036</v>
      </c>
      <c r="E565" t="s">
        <v>43</v>
      </c>
      <c r="F565" t="s">
        <v>2619</v>
      </c>
      <c r="G565" t="s">
        <v>2620</v>
      </c>
      <c r="H565" t="s">
        <v>76</v>
      </c>
      <c r="I565" t="s">
        <v>23</v>
      </c>
      <c r="J565" t="s">
        <v>663</v>
      </c>
      <c r="K565" t="s">
        <v>36</v>
      </c>
      <c r="L565">
        <v>92037</v>
      </c>
      <c r="M565" t="s">
        <v>37</v>
      </c>
      <c r="N565" t="s">
        <v>2621</v>
      </c>
      <c r="O565" t="s">
        <v>39</v>
      </c>
      <c r="P565" t="s">
        <v>209</v>
      </c>
      <c r="Q565" t="s">
        <v>1159</v>
      </c>
      <c r="R565">
        <v>1235</v>
      </c>
    </row>
    <row r="566" spans="1:18" x14ac:dyDescent="0.3">
      <c r="A566" t="s">
        <v>2622</v>
      </c>
      <c r="B566" s="1">
        <v>42399</v>
      </c>
      <c r="C566" s="1">
        <v>42404</v>
      </c>
      <c r="D566" s="1">
        <v>42370</v>
      </c>
      <c r="E566" t="s">
        <v>43</v>
      </c>
      <c r="F566" t="s">
        <v>1068</v>
      </c>
      <c r="G566" t="s">
        <v>1069</v>
      </c>
      <c r="H566" t="s">
        <v>22</v>
      </c>
      <c r="I566" t="s">
        <v>23</v>
      </c>
      <c r="J566" t="s">
        <v>138</v>
      </c>
      <c r="K566" t="s">
        <v>78</v>
      </c>
      <c r="L566">
        <v>77070</v>
      </c>
      <c r="M566" t="s">
        <v>79</v>
      </c>
      <c r="N566" t="s">
        <v>2623</v>
      </c>
      <c r="O566" t="s">
        <v>39</v>
      </c>
      <c r="P566" t="s">
        <v>63</v>
      </c>
      <c r="Q566" t="s">
        <v>2624</v>
      </c>
      <c r="R566">
        <v>14304</v>
      </c>
    </row>
    <row r="567" spans="1:18" x14ac:dyDescent="0.3">
      <c r="A567" t="s">
        <v>2625</v>
      </c>
      <c r="B567" s="1">
        <v>43351</v>
      </c>
      <c r="C567" s="1">
        <v>43356</v>
      </c>
      <c r="D567" s="1">
        <v>43344</v>
      </c>
      <c r="E567" t="s">
        <v>19</v>
      </c>
      <c r="F567" t="s">
        <v>2626</v>
      </c>
      <c r="G567" t="s">
        <v>2627</v>
      </c>
      <c r="H567" t="s">
        <v>22</v>
      </c>
      <c r="I567" t="s">
        <v>23</v>
      </c>
      <c r="J567" t="s">
        <v>225</v>
      </c>
      <c r="K567" t="s">
        <v>160</v>
      </c>
      <c r="L567">
        <v>60610</v>
      </c>
      <c r="M567" t="s">
        <v>79</v>
      </c>
      <c r="N567" t="s">
        <v>585</v>
      </c>
      <c r="O567" t="s">
        <v>28</v>
      </c>
      <c r="P567" t="s">
        <v>49</v>
      </c>
      <c r="Q567" t="s">
        <v>586</v>
      </c>
      <c r="R567">
        <v>765625</v>
      </c>
    </row>
    <row r="568" spans="1:18" x14ac:dyDescent="0.3">
      <c r="A568" t="s">
        <v>2628</v>
      </c>
      <c r="B568" s="1">
        <v>43380</v>
      </c>
      <c r="C568" s="1">
        <v>43386</v>
      </c>
      <c r="D568" s="1">
        <v>43374</v>
      </c>
      <c r="E568" t="s">
        <v>43</v>
      </c>
      <c r="F568" t="s">
        <v>1513</v>
      </c>
      <c r="G568" t="s">
        <v>1514</v>
      </c>
      <c r="H568" t="s">
        <v>22</v>
      </c>
      <c r="I568" t="s">
        <v>23</v>
      </c>
      <c r="J568" t="s">
        <v>101</v>
      </c>
      <c r="K568" t="s">
        <v>36</v>
      </c>
      <c r="L568">
        <v>94110</v>
      </c>
      <c r="M568" t="s">
        <v>37</v>
      </c>
      <c r="N568" t="s">
        <v>2629</v>
      </c>
      <c r="O568" t="s">
        <v>28</v>
      </c>
      <c r="P568" t="s">
        <v>29</v>
      </c>
      <c r="Q568" t="s">
        <v>2630</v>
      </c>
      <c r="R568">
        <v>307666</v>
      </c>
    </row>
    <row r="569" spans="1:18" x14ac:dyDescent="0.3">
      <c r="A569" t="s">
        <v>2631</v>
      </c>
      <c r="B569" s="1">
        <v>42855</v>
      </c>
      <c r="C569" s="1">
        <v>42859</v>
      </c>
      <c r="D569" s="1">
        <v>42826</v>
      </c>
      <c r="E569" t="s">
        <v>43</v>
      </c>
      <c r="F569" t="s">
        <v>1343</v>
      </c>
      <c r="G569" t="s">
        <v>1344</v>
      </c>
      <c r="H569" t="s">
        <v>22</v>
      </c>
      <c r="I569" t="s">
        <v>23</v>
      </c>
      <c r="J569" t="s">
        <v>206</v>
      </c>
      <c r="K569" t="s">
        <v>207</v>
      </c>
      <c r="L569">
        <v>10011</v>
      </c>
      <c r="M569" t="s">
        <v>117</v>
      </c>
      <c r="N569" t="s">
        <v>809</v>
      </c>
      <c r="O569" t="s">
        <v>39</v>
      </c>
      <c r="P569" t="s">
        <v>71</v>
      </c>
      <c r="Q569" t="s">
        <v>810</v>
      </c>
      <c r="R569">
        <v>7712</v>
      </c>
    </row>
    <row r="570" spans="1:18" x14ac:dyDescent="0.3">
      <c r="A570" t="s">
        <v>2632</v>
      </c>
      <c r="B570" s="1">
        <v>43219</v>
      </c>
      <c r="C570" s="1">
        <v>43224</v>
      </c>
      <c r="D570" s="1">
        <v>43191</v>
      </c>
      <c r="E570" t="s">
        <v>19</v>
      </c>
      <c r="F570" t="s">
        <v>2633</v>
      </c>
      <c r="G570" t="s">
        <v>2634</v>
      </c>
      <c r="H570" t="s">
        <v>34</v>
      </c>
      <c r="I570" t="s">
        <v>23</v>
      </c>
      <c r="J570" t="s">
        <v>622</v>
      </c>
      <c r="K570" t="s">
        <v>377</v>
      </c>
      <c r="L570">
        <v>43017</v>
      </c>
      <c r="M570" t="s">
        <v>117</v>
      </c>
      <c r="N570" t="s">
        <v>2635</v>
      </c>
      <c r="O570" t="s">
        <v>28</v>
      </c>
      <c r="P570" t="s">
        <v>49</v>
      </c>
      <c r="Q570" t="s">
        <v>2636</v>
      </c>
      <c r="R570">
        <v>104835</v>
      </c>
    </row>
    <row r="571" spans="1:18" x14ac:dyDescent="0.3">
      <c r="A571" t="s">
        <v>2637</v>
      </c>
      <c r="B571" s="1">
        <v>42773</v>
      </c>
      <c r="C571" s="1">
        <v>42773</v>
      </c>
      <c r="D571" s="1">
        <v>42767</v>
      </c>
      <c r="E571" t="s">
        <v>857</v>
      </c>
      <c r="F571" t="s">
        <v>2278</v>
      </c>
      <c r="G571" t="s">
        <v>2279</v>
      </c>
      <c r="H571" t="s">
        <v>22</v>
      </c>
      <c r="I571" t="s">
        <v>23</v>
      </c>
      <c r="J571" t="s">
        <v>238</v>
      </c>
      <c r="K571" t="s">
        <v>239</v>
      </c>
      <c r="L571">
        <v>22153</v>
      </c>
      <c r="M571" t="s">
        <v>26</v>
      </c>
      <c r="N571" t="s">
        <v>2638</v>
      </c>
      <c r="O571" t="s">
        <v>147</v>
      </c>
      <c r="P571" t="s">
        <v>180</v>
      </c>
      <c r="Q571" t="s">
        <v>2639</v>
      </c>
      <c r="R571">
        <v>100</v>
      </c>
    </row>
    <row r="572" spans="1:18" x14ac:dyDescent="0.3">
      <c r="A572" t="s">
        <v>2640</v>
      </c>
      <c r="B572" s="1">
        <v>43310</v>
      </c>
      <c r="C572" s="1">
        <v>43313</v>
      </c>
      <c r="D572" s="1">
        <v>43282</v>
      </c>
      <c r="E572" t="s">
        <v>19</v>
      </c>
      <c r="F572" t="s">
        <v>945</v>
      </c>
      <c r="G572" t="s">
        <v>946</v>
      </c>
      <c r="H572" t="s">
        <v>22</v>
      </c>
      <c r="I572" t="s">
        <v>23</v>
      </c>
      <c r="J572" t="s">
        <v>1007</v>
      </c>
      <c r="K572" t="s">
        <v>61</v>
      </c>
      <c r="L572">
        <v>28540</v>
      </c>
      <c r="M572" t="s">
        <v>26</v>
      </c>
      <c r="N572" t="s">
        <v>2641</v>
      </c>
      <c r="O572" t="s">
        <v>39</v>
      </c>
      <c r="P572" t="s">
        <v>81</v>
      </c>
      <c r="Q572" t="s">
        <v>2642</v>
      </c>
      <c r="R572">
        <v>34848</v>
      </c>
    </row>
    <row r="573" spans="1:18" x14ac:dyDescent="0.3">
      <c r="A573" t="s">
        <v>2643</v>
      </c>
      <c r="B573" s="1">
        <v>42161</v>
      </c>
      <c r="C573" s="1">
        <v>42164</v>
      </c>
      <c r="D573" s="1">
        <v>42156</v>
      </c>
      <c r="E573" t="s">
        <v>142</v>
      </c>
      <c r="F573" t="s">
        <v>1559</v>
      </c>
      <c r="G573" t="s">
        <v>1560</v>
      </c>
      <c r="H573" t="s">
        <v>22</v>
      </c>
      <c r="I573" t="s">
        <v>23</v>
      </c>
      <c r="J573" t="s">
        <v>290</v>
      </c>
      <c r="K573" t="s">
        <v>207</v>
      </c>
      <c r="L573">
        <v>14609</v>
      </c>
      <c r="M573" t="s">
        <v>117</v>
      </c>
      <c r="N573" t="s">
        <v>2644</v>
      </c>
      <c r="O573" t="s">
        <v>39</v>
      </c>
      <c r="P573" t="s">
        <v>103</v>
      </c>
      <c r="Q573" t="s">
        <v>2645</v>
      </c>
      <c r="R573">
        <v>1336</v>
      </c>
    </row>
    <row r="574" spans="1:18" x14ac:dyDescent="0.3">
      <c r="A574" t="s">
        <v>2646</v>
      </c>
      <c r="B574" s="1">
        <v>42960</v>
      </c>
      <c r="C574" s="1">
        <v>42964</v>
      </c>
      <c r="D574" s="1">
        <v>42948</v>
      </c>
      <c r="E574" t="s">
        <v>19</v>
      </c>
      <c r="F574" t="s">
        <v>1089</v>
      </c>
      <c r="G574" t="s">
        <v>1090</v>
      </c>
      <c r="H574" t="s">
        <v>22</v>
      </c>
      <c r="I574" t="s">
        <v>23</v>
      </c>
      <c r="J574" t="s">
        <v>1007</v>
      </c>
      <c r="K574" t="s">
        <v>61</v>
      </c>
      <c r="L574">
        <v>28540</v>
      </c>
      <c r="M574" t="s">
        <v>26</v>
      </c>
      <c r="N574" t="s">
        <v>2647</v>
      </c>
      <c r="O574" t="s">
        <v>39</v>
      </c>
      <c r="P574" t="s">
        <v>71</v>
      </c>
      <c r="Q574" t="s">
        <v>2648</v>
      </c>
      <c r="R574">
        <v>11232</v>
      </c>
    </row>
    <row r="575" spans="1:18" x14ac:dyDescent="0.3">
      <c r="A575" t="s">
        <v>2649</v>
      </c>
      <c r="B575" s="1">
        <v>42119</v>
      </c>
      <c r="C575" s="1">
        <v>42123</v>
      </c>
      <c r="D575" s="1">
        <v>42095</v>
      </c>
      <c r="E575" t="s">
        <v>43</v>
      </c>
      <c r="F575" t="s">
        <v>2650</v>
      </c>
      <c r="G575" t="s">
        <v>2651</v>
      </c>
      <c r="H575" t="s">
        <v>76</v>
      </c>
      <c r="I575" t="s">
        <v>23</v>
      </c>
      <c r="J575" t="s">
        <v>138</v>
      </c>
      <c r="K575" t="s">
        <v>78</v>
      </c>
      <c r="L575">
        <v>77095</v>
      </c>
      <c r="M575" t="s">
        <v>79</v>
      </c>
      <c r="N575" t="s">
        <v>2652</v>
      </c>
      <c r="O575" t="s">
        <v>39</v>
      </c>
      <c r="P575" t="s">
        <v>63</v>
      </c>
      <c r="Q575" t="s">
        <v>2653</v>
      </c>
      <c r="R575">
        <v>10368</v>
      </c>
    </row>
    <row r="576" spans="1:18" x14ac:dyDescent="0.3">
      <c r="A576" t="s">
        <v>2654</v>
      </c>
      <c r="B576" s="1">
        <v>43436</v>
      </c>
      <c r="C576" s="1">
        <v>43439</v>
      </c>
      <c r="D576" s="1">
        <v>43435</v>
      </c>
      <c r="E576" t="s">
        <v>142</v>
      </c>
      <c r="F576" t="s">
        <v>611</v>
      </c>
      <c r="G576" t="s">
        <v>612</v>
      </c>
      <c r="H576" t="s">
        <v>34</v>
      </c>
      <c r="I576" t="s">
        <v>23</v>
      </c>
      <c r="J576" t="s">
        <v>101</v>
      </c>
      <c r="K576" t="s">
        <v>36</v>
      </c>
      <c r="L576">
        <v>94122</v>
      </c>
      <c r="M576" t="s">
        <v>37</v>
      </c>
      <c r="N576" t="s">
        <v>2655</v>
      </c>
      <c r="O576" t="s">
        <v>39</v>
      </c>
      <c r="P576" t="s">
        <v>89</v>
      </c>
      <c r="Q576" t="s">
        <v>2656</v>
      </c>
      <c r="R576">
        <v>55962</v>
      </c>
    </row>
    <row r="577" spans="1:18" x14ac:dyDescent="0.3">
      <c r="A577" t="s">
        <v>2657</v>
      </c>
      <c r="B577" s="1">
        <v>42712</v>
      </c>
      <c r="C577" s="1">
        <v>42715</v>
      </c>
      <c r="D577" s="1">
        <v>42705</v>
      </c>
      <c r="E577" t="s">
        <v>19</v>
      </c>
      <c r="F577" t="s">
        <v>2658</v>
      </c>
      <c r="G577" t="s">
        <v>2659</v>
      </c>
      <c r="H577" t="s">
        <v>76</v>
      </c>
      <c r="I577" t="s">
        <v>23</v>
      </c>
      <c r="J577" t="s">
        <v>77</v>
      </c>
      <c r="K577" t="s">
        <v>78</v>
      </c>
      <c r="L577">
        <v>76106</v>
      </c>
      <c r="M577" t="s">
        <v>79</v>
      </c>
      <c r="N577" t="s">
        <v>2660</v>
      </c>
      <c r="O577" t="s">
        <v>39</v>
      </c>
      <c r="P577" t="s">
        <v>63</v>
      </c>
      <c r="Q577" t="s">
        <v>2661</v>
      </c>
      <c r="R577">
        <v>360712</v>
      </c>
    </row>
    <row r="578" spans="1:18" x14ac:dyDescent="0.3">
      <c r="A578" t="s">
        <v>2662</v>
      </c>
      <c r="B578" s="1">
        <v>42009</v>
      </c>
      <c r="C578" s="1">
        <v>42016</v>
      </c>
      <c r="D578" s="1">
        <v>42005</v>
      </c>
      <c r="E578" t="s">
        <v>43</v>
      </c>
      <c r="F578" t="s">
        <v>2663</v>
      </c>
      <c r="G578" t="s">
        <v>2664</v>
      </c>
      <c r="H578" t="s">
        <v>22</v>
      </c>
      <c r="I578" t="s">
        <v>23</v>
      </c>
      <c r="J578" t="s">
        <v>115</v>
      </c>
      <c r="K578" t="s">
        <v>116</v>
      </c>
      <c r="L578">
        <v>19143</v>
      </c>
      <c r="M578" t="s">
        <v>117</v>
      </c>
      <c r="N578" t="s">
        <v>957</v>
      </c>
      <c r="O578" t="s">
        <v>39</v>
      </c>
      <c r="P578" t="s">
        <v>103</v>
      </c>
      <c r="Q578" t="s">
        <v>958</v>
      </c>
      <c r="R578">
        <v>19536</v>
      </c>
    </row>
    <row r="579" spans="1:18" x14ac:dyDescent="0.3">
      <c r="A579" t="s">
        <v>2665</v>
      </c>
      <c r="B579" s="1">
        <v>42618</v>
      </c>
      <c r="C579" s="1">
        <v>42622</v>
      </c>
      <c r="D579" s="1">
        <v>42614</v>
      </c>
      <c r="E579" t="s">
        <v>43</v>
      </c>
      <c r="F579" t="s">
        <v>870</v>
      </c>
      <c r="G579" t="s">
        <v>871</v>
      </c>
      <c r="H579" t="s">
        <v>22</v>
      </c>
      <c r="I579" t="s">
        <v>23</v>
      </c>
      <c r="J579" t="s">
        <v>663</v>
      </c>
      <c r="K579" t="s">
        <v>36</v>
      </c>
      <c r="L579">
        <v>92105</v>
      </c>
      <c r="M579" t="s">
        <v>37</v>
      </c>
      <c r="N579" t="s">
        <v>2666</v>
      </c>
      <c r="O579" t="s">
        <v>28</v>
      </c>
      <c r="P579" t="s">
        <v>29</v>
      </c>
      <c r="Q579" t="s">
        <v>2667</v>
      </c>
      <c r="R579">
        <v>411332</v>
      </c>
    </row>
    <row r="580" spans="1:18" x14ac:dyDescent="0.3">
      <c r="A580" t="s">
        <v>2668</v>
      </c>
      <c r="B580" s="1">
        <v>42951</v>
      </c>
      <c r="C580" s="1">
        <v>42955</v>
      </c>
      <c r="D580" s="1">
        <v>42948</v>
      </c>
      <c r="E580" t="s">
        <v>43</v>
      </c>
      <c r="F580" t="s">
        <v>2669</v>
      </c>
      <c r="G580" t="s">
        <v>2670</v>
      </c>
      <c r="H580" t="s">
        <v>76</v>
      </c>
      <c r="I580" t="s">
        <v>23</v>
      </c>
      <c r="J580" t="s">
        <v>2596</v>
      </c>
      <c r="K580" t="s">
        <v>239</v>
      </c>
      <c r="L580">
        <v>23434</v>
      </c>
      <c r="M580" t="s">
        <v>26</v>
      </c>
      <c r="N580" t="s">
        <v>2671</v>
      </c>
      <c r="O580" t="s">
        <v>39</v>
      </c>
      <c r="P580" t="s">
        <v>1264</v>
      </c>
      <c r="Q580" t="s">
        <v>2672</v>
      </c>
      <c r="R580">
        <v>3506</v>
      </c>
    </row>
    <row r="581" spans="1:18" x14ac:dyDescent="0.3">
      <c r="A581" t="s">
        <v>2673</v>
      </c>
      <c r="B581" s="1">
        <v>42085</v>
      </c>
      <c r="C581" s="1">
        <v>42089</v>
      </c>
      <c r="D581" s="1">
        <v>42064</v>
      </c>
      <c r="E581" t="s">
        <v>43</v>
      </c>
      <c r="F581" t="s">
        <v>2674</v>
      </c>
      <c r="G581" t="s">
        <v>2675</v>
      </c>
      <c r="H581" t="s">
        <v>22</v>
      </c>
      <c r="I581" t="s">
        <v>23</v>
      </c>
      <c r="J581" t="s">
        <v>2676</v>
      </c>
      <c r="K581" t="s">
        <v>61</v>
      </c>
      <c r="L581">
        <v>27405</v>
      </c>
      <c r="M581" t="s">
        <v>26</v>
      </c>
      <c r="N581" t="s">
        <v>201</v>
      </c>
      <c r="O581" t="s">
        <v>39</v>
      </c>
      <c r="P581" t="s">
        <v>71</v>
      </c>
      <c r="Q581" t="s">
        <v>202</v>
      </c>
      <c r="R581">
        <v>7644</v>
      </c>
    </row>
    <row r="582" spans="1:18" x14ac:dyDescent="0.3">
      <c r="A582" t="s">
        <v>2677</v>
      </c>
      <c r="B582" s="1">
        <v>43161</v>
      </c>
      <c r="C582" s="1">
        <v>43167</v>
      </c>
      <c r="D582" s="1">
        <v>43160</v>
      </c>
      <c r="E582" t="s">
        <v>43</v>
      </c>
      <c r="F582" t="s">
        <v>2678</v>
      </c>
      <c r="G582" t="s">
        <v>2679</v>
      </c>
      <c r="H582" t="s">
        <v>34</v>
      </c>
      <c r="I582" t="s">
        <v>23</v>
      </c>
      <c r="J582" t="s">
        <v>590</v>
      </c>
      <c r="K582" t="s">
        <v>78</v>
      </c>
      <c r="L582">
        <v>75081</v>
      </c>
      <c r="M582" t="s">
        <v>79</v>
      </c>
      <c r="N582" t="s">
        <v>1968</v>
      </c>
      <c r="O582" t="s">
        <v>39</v>
      </c>
      <c r="P582" t="s">
        <v>1264</v>
      </c>
      <c r="Q582" t="s">
        <v>1969</v>
      </c>
      <c r="R582">
        <v>6976</v>
      </c>
    </row>
    <row r="583" spans="1:18" x14ac:dyDescent="0.3">
      <c r="A583" t="s">
        <v>2680</v>
      </c>
      <c r="B583" s="1">
        <v>43066</v>
      </c>
      <c r="C583" s="1">
        <v>43068</v>
      </c>
      <c r="D583" s="1">
        <v>43040</v>
      </c>
      <c r="E583" t="s">
        <v>19</v>
      </c>
      <c r="F583" t="s">
        <v>386</v>
      </c>
      <c r="G583" t="s">
        <v>387</v>
      </c>
      <c r="H583" t="s">
        <v>34</v>
      </c>
      <c r="I583" t="s">
        <v>23</v>
      </c>
      <c r="J583" t="s">
        <v>225</v>
      </c>
      <c r="K583" t="s">
        <v>160</v>
      </c>
      <c r="L583">
        <v>60623</v>
      </c>
      <c r="M583" t="s">
        <v>79</v>
      </c>
      <c r="N583" t="s">
        <v>2049</v>
      </c>
      <c r="O583" t="s">
        <v>39</v>
      </c>
      <c r="P583" t="s">
        <v>89</v>
      </c>
      <c r="Q583" t="s">
        <v>2050</v>
      </c>
      <c r="R583">
        <v>97984</v>
      </c>
    </row>
    <row r="584" spans="1:18" x14ac:dyDescent="0.3">
      <c r="A584" t="s">
        <v>2681</v>
      </c>
      <c r="B584" s="1">
        <v>42122</v>
      </c>
      <c r="C584" s="1">
        <v>42127</v>
      </c>
      <c r="D584" s="1">
        <v>42095</v>
      </c>
      <c r="E584" t="s">
        <v>43</v>
      </c>
      <c r="F584" t="s">
        <v>2682</v>
      </c>
      <c r="G584" t="s">
        <v>2683</v>
      </c>
      <c r="H584" t="s">
        <v>34</v>
      </c>
      <c r="I584" t="s">
        <v>23</v>
      </c>
      <c r="J584" t="s">
        <v>2684</v>
      </c>
      <c r="K584" t="s">
        <v>1743</v>
      </c>
      <c r="L584">
        <v>21215</v>
      </c>
      <c r="M584" t="s">
        <v>117</v>
      </c>
      <c r="N584" t="s">
        <v>2685</v>
      </c>
      <c r="O584" t="s">
        <v>39</v>
      </c>
      <c r="P584" t="s">
        <v>71</v>
      </c>
      <c r="Q584" t="s">
        <v>2686</v>
      </c>
      <c r="R584">
        <v>2086</v>
      </c>
    </row>
    <row r="585" spans="1:18" x14ac:dyDescent="0.3">
      <c r="A585" t="s">
        <v>2687</v>
      </c>
      <c r="B585" s="1">
        <v>43050</v>
      </c>
      <c r="C585" s="1">
        <v>43055</v>
      </c>
      <c r="D585" s="1">
        <v>43040</v>
      </c>
      <c r="E585" t="s">
        <v>43</v>
      </c>
      <c r="F585" t="s">
        <v>2147</v>
      </c>
      <c r="G585" t="s">
        <v>2148</v>
      </c>
      <c r="H585" t="s">
        <v>22</v>
      </c>
      <c r="I585" t="s">
        <v>23</v>
      </c>
      <c r="J585" t="s">
        <v>206</v>
      </c>
      <c r="K585" t="s">
        <v>207</v>
      </c>
      <c r="L585">
        <v>10011</v>
      </c>
      <c r="M585" t="s">
        <v>117</v>
      </c>
      <c r="N585" t="s">
        <v>2688</v>
      </c>
      <c r="O585" t="s">
        <v>147</v>
      </c>
      <c r="P585" t="s">
        <v>180</v>
      </c>
      <c r="Q585" t="s">
        <v>2689</v>
      </c>
      <c r="R585">
        <v>5997</v>
      </c>
    </row>
    <row r="586" spans="1:18" x14ac:dyDescent="0.3">
      <c r="A586" t="s">
        <v>2690</v>
      </c>
      <c r="B586" s="1">
        <v>42560</v>
      </c>
      <c r="C586" s="1">
        <v>42564</v>
      </c>
      <c r="D586" s="1">
        <v>42552</v>
      </c>
      <c r="E586" t="s">
        <v>43</v>
      </c>
      <c r="F586" t="s">
        <v>694</v>
      </c>
      <c r="G586" t="s">
        <v>695</v>
      </c>
      <c r="H586" t="s">
        <v>34</v>
      </c>
      <c r="I586" t="s">
        <v>23</v>
      </c>
      <c r="J586" t="s">
        <v>596</v>
      </c>
      <c r="K586" t="s">
        <v>829</v>
      </c>
      <c r="L586">
        <v>2038</v>
      </c>
      <c r="M586" t="s">
        <v>117</v>
      </c>
      <c r="N586" t="s">
        <v>2691</v>
      </c>
      <c r="O586" t="s">
        <v>39</v>
      </c>
      <c r="P586" t="s">
        <v>63</v>
      </c>
      <c r="Q586" t="s">
        <v>2692</v>
      </c>
      <c r="R586">
        <v>658</v>
      </c>
    </row>
    <row r="587" spans="1:18" x14ac:dyDescent="0.3">
      <c r="A587" t="s">
        <v>2693</v>
      </c>
      <c r="B587" s="1">
        <v>43365</v>
      </c>
      <c r="C587" s="1">
        <v>43369</v>
      </c>
      <c r="D587" s="1">
        <v>43344</v>
      </c>
      <c r="E587" t="s">
        <v>43</v>
      </c>
      <c r="F587" t="s">
        <v>2694</v>
      </c>
      <c r="G587" t="s">
        <v>2695</v>
      </c>
      <c r="H587" t="s">
        <v>34</v>
      </c>
      <c r="I587" t="s">
        <v>23</v>
      </c>
      <c r="J587" t="s">
        <v>1614</v>
      </c>
      <c r="K587" t="s">
        <v>87</v>
      </c>
      <c r="L587">
        <v>53209</v>
      </c>
      <c r="M587" t="s">
        <v>79</v>
      </c>
      <c r="N587" t="s">
        <v>2578</v>
      </c>
      <c r="O587" t="s">
        <v>39</v>
      </c>
      <c r="P587" t="s">
        <v>63</v>
      </c>
      <c r="Q587" t="s">
        <v>2579</v>
      </c>
      <c r="R587">
        <v>21984</v>
      </c>
    </row>
    <row r="588" spans="1:18" x14ac:dyDescent="0.3">
      <c r="A588" t="s">
        <v>2696</v>
      </c>
      <c r="B588" s="1">
        <v>42415</v>
      </c>
      <c r="C588" s="1">
        <v>42419</v>
      </c>
      <c r="D588" s="1">
        <v>42401</v>
      </c>
      <c r="E588" t="s">
        <v>43</v>
      </c>
      <c r="F588" t="s">
        <v>2697</v>
      </c>
      <c r="G588" t="s">
        <v>2698</v>
      </c>
      <c r="H588" t="s">
        <v>34</v>
      </c>
      <c r="I588" t="s">
        <v>23</v>
      </c>
      <c r="J588" t="s">
        <v>2699</v>
      </c>
      <c r="K588" t="s">
        <v>87</v>
      </c>
      <c r="L588">
        <v>53142</v>
      </c>
      <c r="M588" t="s">
        <v>79</v>
      </c>
      <c r="N588" t="s">
        <v>2700</v>
      </c>
      <c r="O588" t="s">
        <v>147</v>
      </c>
      <c r="P588" t="s">
        <v>148</v>
      </c>
      <c r="Q588" t="s">
        <v>2701</v>
      </c>
      <c r="R588">
        <v>13497</v>
      </c>
    </row>
    <row r="589" spans="1:18" x14ac:dyDescent="0.3">
      <c r="A589" t="s">
        <v>2702</v>
      </c>
      <c r="B589" s="1">
        <v>42277</v>
      </c>
      <c r="C589" s="1">
        <v>42281</v>
      </c>
      <c r="D589" s="1">
        <v>42248</v>
      </c>
      <c r="E589" t="s">
        <v>43</v>
      </c>
      <c r="F589" t="s">
        <v>887</v>
      </c>
      <c r="G589" t="s">
        <v>888</v>
      </c>
      <c r="H589" t="s">
        <v>22</v>
      </c>
      <c r="I589" t="s">
        <v>23</v>
      </c>
      <c r="J589" t="s">
        <v>206</v>
      </c>
      <c r="K589" t="s">
        <v>207</v>
      </c>
      <c r="L589">
        <v>10011</v>
      </c>
      <c r="M589" t="s">
        <v>117</v>
      </c>
      <c r="N589" t="s">
        <v>1459</v>
      </c>
      <c r="O589" t="s">
        <v>39</v>
      </c>
      <c r="P589" t="s">
        <v>63</v>
      </c>
      <c r="Q589" t="s">
        <v>1460</v>
      </c>
      <c r="R589">
        <v>4894</v>
      </c>
    </row>
    <row r="590" spans="1:18" x14ac:dyDescent="0.3">
      <c r="A590" t="s">
        <v>2703</v>
      </c>
      <c r="B590" s="1">
        <v>42339</v>
      </c>
      <c r="C590" s="1">
        <v>42341</v>
      </c>
      <c r="D590" s="1">
        <v>42339</v>
      </c>
      <c r="E590" t="s">
        <v>142</v>
      </c>
      <c r="F590" t="s">
        <v>2704</v>
      </c>
      <c r="G590" t="s">
        <v>2705</v>
      </c>
      <c r="H590" t="s">
        <v>22</v>
      </c>
      <c r="I590" t="s">
        <v>23</v>
      </c>
      <c r="J590" t="s">
        <v>86</v>
      </c>
      <c r="K590" t="s">
        <v>87</v>
      </c>
      <c r="L590">
        <v>53711</v>
      </c>
      <c r="M590" t="s">
        <v>79</v>
      </c>
      <c r="N590" t="s">
        <v>2706</v>
      </c>
      <c r="O590" t="s">
        <v>28</v>
      </c>
      <c r="P590" t="s">
        <v>119</v>
      </c>
      <c r="Q590" t="s">
        <v>2707</v>
      </c>
      <c r="R590">
        <v>280784</v>
      </c>
    </row>
    <row r="591" spans="1:18" x14ac:dyDescent="0.3">
      <c r="A591" t="s">
        <v>2708</v>
      </c>
      <c r="B591" s="1">
        <v>42346</v>
      </c>
      <c r="C591" s="1">
        <v>42351</v>
      </c>
      <c r="D591" s="1">
        <v>42339</v>
      </c>
      <c r="E591" t="s">
        <v>43</v>
      </c>
      <c r="F591" t="s">
        <v>2709</v>
      </c>
      <c r="G591" t="s">
        <v>2710</v>
      </c>
      <c r="H591" t="s">
        <v>34</v>
      </c>
      <c r="I591" t="s">
        <v>23</v>
      </c>
      <c r="J591" t="s">
        <v>138</v>
      </c>
      <c r="K591" t="s">
        <v>78</v>
      </c>
      <c r="L591">
        <v>77041</v>
      </c>
      <c r="M591" t="s">
        <v>79</v>
      </c>
      <c r="N591" t="s">
        <v>2711</v>
      </c>
      <c r="O591" t="s">
        <v>39</v>
      </c>
      <c r="P591" t="s">
        <v>89</v>
      </c>
      <c r="Q591" t="s">
        <v>2712</v>
      </c>
      <c r="R591">
        <v>60416</v>
      </c>
    </row>
    <row r="592" spans="1:18" x14ac:dyDescent="0.3">
      <c r="A592" t="s">
        <v>2713</v>
      </c>
      <c r="B592" s="1">
        <v>42955</v>
      </c>
      <c r="C592" s="1">
        <v>42957</v>
      </c>
      <c r="D592" s="1">
        <v>42948</v>
      </c>
      <c r="E592" t="s">
        <v>19</v>
      </c>
      <c r="F592" t="s">
        <v>2714</v>
      </c>
      <c r="G592" t="s">
        <v>2715</v>
      </c>
      <c r="H592" t="s">
        <v>22</v>
      </c>
      <c r="I592" t="s">
        <v>23</v>
      </c>
      <c r="J592" t="s">
        <v>590</v>
      </c>
      <c r="K592" t="s">
        <v>78</v>
      </c>
      <c r="L592">
        <v>75081</v>
      </c>
      <c r="M592" t="s">
        <v>79</v>
      </c>
      <c r="N592" t="s">
        <v>623</v>
      </c>
      <c r="O592" t="s">
        <v>39</v>
      </c>
      <c r="P592" t="s">
        <v>209</v>
      </c>
      <c r="Q592" t="s">
        <v>624</v>
      </c>
      <c r="R592">
        <v>11168</v>
      </c>
    </row>
    <row r="593" spans="1:18" x14ac:dyDescent="0.3">
      <c r="A593" t="s">
        <v>2716</v>
      </c>
      <c r="B593" s="1">
        <v>43094</v>
      </c>
      <c r="C593" s="1">
        <v>43097</v>
      </c>
      <c r="D593" s="1">
        <v>43070</v>
      </c>
      <c r="E593" t="s">
        <v>142</v>
      </c>
      <c r="F593" t="s">
        <v>780</v>
      </c>
      <c r="G593" t="s">
        <v>781</v>
      </c>
      <c r="H593" t="s">
        <v>34</v>
      </c>
      <c r="I593" t="s">
        <v>23</v>
      </c>
      <c r="J593" t="s">
        <v>35</v>
      </c>
      <c r="K593" t="s">
        <v>36</v>
      </c>
      <c r="L593">
        <v>90049</v>
      </c>
      <c r="M593" t="s">
        <v>37</v>
      </c>
      <c r="N593" t="s">
        <v>2717</v>
      </c>
      <c r="O593" t="s">
        <v>147</v>
      </c>
      <c r="P593" t="s">
        <v>148</v>
      </c>
      <c r="Q593" t="s">
        <v>2718</v>
      </c>
      <c r="R593">
        <v>2575944</v>
      </c>
    </row>
    <row r="594" spans="1:18" x14ac:dyDescent="0.3">
      <c r="A594" t="s">
        <v>2719</v>
      </c>
      <c r="B594" s="1">
        <v>42777</v>
      </c>
      <c r="C594" s="1">
        <v>42779</v>
      </c>
      <c r="D594" s="1">
        <v>42767</v>
      </c>
      <c r="E594" t="s">
        <v>142</v>
      </c>
      <c r="F594" t="s">
        <v>2720</v>
      </c>
      <c r="G594" t="s">
        <v>2721</v>
      </c>
      <c r="H594" t="s">
        <v>34</v>
      </c>
      <c r="I594" t="s">
        <v>23</v>
      </c>
      <c r="J594" t="s">
        <v>2722</v>
      </c>
      <c r="K594" t="s">
        <v>474</v>
      </c>
      <c r="L594">
        <v>74133</v>
      </c>
      <c r="M594" t="s">
        <v>79</v>
      </c>
      <c r="N594" t="s">
        <v>2723</v>
      </c>
      <c r="O594" t="s">
        <v>147</v>
      </c>
      <c r="P594" t="s">
        <v>148</v>
      </c>
      <c r="Q594" t="s">
        <v>2724</v>
      </c>
      <c r="R594">
        <v>6993</v>
      </c>
    </row>
    <row r="595" spans="1:18" x14ac:dyDescent="0.3">
      <c r="A595" t="s">
        <v>2725</v>
      </c>
      <c r="B595" s="1">
        <v>42525</v>
      </c>
      <c r="C595" s="1">
        <v>42525</v>
      </c>
      <c r="D595" s="1">
        <v>42522</v>
      </c>
      <c r="E595" t="s">
        <v>857</v>
      </c>
      <c r="F595" t="s">
        <v>1728</v>
      </c>
      <c r="G595" t="s">
        <v>1729</v>
      </c>
      <c r="H595" t="s">
        <v>22</v>
      </c>
      <c r="I595" t="s">
        <v>23</v>
      </c>
      <c r="J595" t="s">
        <v>68</v>
      </c>
      <c r="K595" t="s">
        <v>69</v>
      </c>
      <c r="L595">
        <v>98105</v>
      </c>
      <c r="M595" t="s">
        <v>37</v>
      </c>
      <c r="N595" t="s">
        <v>2726</v>
      </c>
      <c r="O595" t="s">
        <v>39</v>
      </c>
      <c r="P595" t="s">
        <v>40</v>
      </c>
      <c r="Q595" t="s">
        <v>2727</v>
      </c>
      <c r="R595">
        <v>738</v>
      </c>
    </row>
    <row r="596" spans="1:18" x14ac:dyDescent="0.3">
      <c r="A596" t="s">
        <v>2728</v>
      </c>
      <c r="B596" s="1">
        <v>42149</v>
      </c>
      <c r="C596" s="1">
        <v>42153</v>
      </c>
      <c r="D596" s="1">
        <v>42125</v>
      </c>
      <c r="E596" t="s">
        <v>43</v>
      </c>
      <c r="F596" t="s">
        <v>2729</v>
      </c>
      <c r="G596" t="s">
        <v>2730</v>
      </c>
      <c r="H596" t="s">
        <v>22</v>
      </c>
      <c r="I596" t="s">
        <v>23</v>
      </c>
      <c r="J596" t="s">
        <v>225</v>
      </c>
      <c r="K596" t="s">
        <v>160</v>
      </c>
      <c r="L596">
        <v>60623</v>
      </c>
      <c r="M596" t="s">
        <v>79</v>
      </c>
      <c r="N596" t="s">
        <v>2731</v>
      </c>
      <c r="O596" t="s">
        <v>39</v>
      </c>
      <c r="P596" t="s">
        <v>81</v>
      </c>
      <c r="Q596" t="s">
        <v>2732</v>
      </c>
      <c r="R596">
        <v>756</v>
      </c>
    </row>
    <row r="597" spans="1:18" x14ac:dyDescent="0.3">
      <c r="A597" t="s">
        <v>2733</v>
      </c>
      <c r="B597" s="1">
        <v>42782</v>
      </c>
      <c r="C597" s="1">
        <v>42786</v>
      </c>
      <c r="D597" s="1">
        <v>42767</v>
      </c>
      <c r="E597" t="s">
        <v>43</v>
      </c>
      <c r="F597" t="s">
        <v>637</v>
      </c>
      <c r="G597" t="s">
        <v>638</v>
      </c>
      <c r="H597" t="s">
        <v>34</v>
      </c>
      <c r="I597" t="s">
        <v>23</v>
      </c>
      <c r="J597" t="s">
        <v>225</v>
      </c>
      <c r="K597" t="s">
        <v>160</v>
      </c>
      <c r="L597">
        <v>60623</v>
      </c>
      <c r="M597" t="s">
        <v>79</v>
      </c>
      <c r="N597" t="s">
        <v>2734</v>
      </c>
      <c r="O597" t="s">
        <v>39</v>
      </c>
      <c r="P597" t="s">
        <v>81</v>
      </c>
      <c r="Q597" t="s">
        <v>2735</v>
      </c>
      <c r="R597">
        <v>92064</v>
      </c>
    </row>
    <row r="598" spans="1:18" x14ac:dyDescent="0.3">
      <c r="A598" t="s">
        <v>2736</v>
      </c>
      <c r="B598" s="1">
        <v>43091</v>
      </c>
      <c r="C598" s="1">
        <v>43097</v>
      </c>
      <c r="D598" s="1">
        <v>43070</v>
      </c>
      <c r="E598" t="s">
        <v>43</v>
      </c>
      <c r="F598" t="s">
        <v>1097</v>
      </c>
      <c r="G598" t="s">
        <v>1098</v>
      </c>
      <c r="H598" t="s">
        <v>22</v>
      </c>
      <c r="I598" t="s">
        <v>23</v>
      </c>
      <c r="J598" t="s">
        <v>2737</v>
      </c>
      <c r="K598" t="s">
        <v>313</v>
      </c>
      <c r="L598">
        <v>97756</v>
      </c>
      <c r="M598" t="s">
        <v>37</v>
      </c>
      <c r="N598" t="s">
        <v>2080</v>
      </c>
      <c r="O598" t="s">
        <v>39</v>
      </c>
      <c r="P598" t="s">
        <v>71</v>
      </c>
      <c r="Q598" t="s">
        <v>2081</v>
      </c>
      <c r="R598">
        <v>3132</v>
      </c>
    </row>
    <row r="599" spans="1:18" x14ac:dyDescent="0.3">
      <c r="A599" t="s">
        <v>2738</v>
      </c>
      <c r="B599" s="1">
        <v>42774</v>
      </c>
      <c r="C599" s="1">
        <v>42777</v>
      </c>
      <c r="D599" s="1">
        <v>42767</v>
      </c>
      <c r="E599" t="s">
        <v>19</v>
      </c>
      <c r="F599" t="s">
        <v>2739</v>
      </c>
      <c r="G599" t="s">
        <v>2740</v>
      </c>
      <c r="H599" t="s">
        <v>76</v>
      </c>
      <c r="I599" t="s">
        <v>23</v>
      </c>
      <c r="J599" t="s">
        <v>2741</v>
      </c>
      <c r="K599" t="s">
        <v>61</v>
      </c>
      <c r="L599">
        <v>27604</v>
      </c>
      <c r="M599" t="s">
        <v>26</v>
      </c>
      <c r="N599" t="s">
        <v>2742</v>
      </c>
      <c r="O599" t="s">
        <v>147</v>
      </c>
      <c r="P599" t="s">
        <v>148</v>
      </c>
      <c r="Q599" t="s">
        <v>2743</v>
      </c>
      <c r="R599">
        <v>1127976</v>
      </c>
    </row>
    <row r="600" spans="1:18" x14ac:dyDescent="0.3">
      <c r="A600" t="s">
        <v>2744</v>
      </c>
      <c r="B600" s="1">
        <v>42142</v>
      </c>
      <c r="C600" s="1">
        <v>42148</v>
      </c>
      <c r="D600" s="1">
        <v>42125</v>
      </c>
      <c r="E600" t="s">
        <v>43</v>
      </c>
      <c r="F600" t="s">
        <v>582</v>
      </c>
      <c r="G600" t="s">
        <v>583</v>
      </c>
      <c r="H600" t="s">
        <v>22</v>
      </c>
      <c r="I600" t="s">
        <v>23</v>
      </c>
      <c r="J600" t="s">
        <v>1429</v>
      </c>
      <c r="K600" t="s">
        <v>377</v>
      </c>
      <c r="L600">
        <v>44105</v>
      </c>
      <c r="M600" t="s">
        <v>117</v>
      </c>
      <c r="N600" t="s">
        <v>2745</v>
      </c>
      <c r="O600" t="s">
        <v>147</v>
      </c>
      <c r="P600" t="s">
        <v>148</v>
      </c>
      <c r="Q600" t="s">
        <v>2746</v>
      </c>
      <c r="R600">
        <v>779796</v>
      </c>
    </row>
    <row r="601" spans="1:18" x14ac:dyDescent="0.3">
      <c r="A601" t="s">
        <v>2747</v>
      </c>
      <c r="B601" s="1">
        <v>42679</v>
      </c>
      <c r="C601" s="1">
        <v>42683</v>
      </c>
      <c r="D601" s="1">
        <v>42675</v>
      </c>
      <c r="E601" t="s">
        <v>43</v>
      </c>
      <c r="F601" t="s">
        <v>1762</v>
      </c>
      <c r="G601" t="s">
        <v>1763</v>
      </c>
      <c r="H601" t="s">
        <v>34</v>
      </c>
      <c r="I601" t="s">
        <v>23</v>
      </c>
      <c r="J601" t="s">
        <v>531</v>
      </c>
      <c r="K601" t="s">
        <v>61</v>
      </c>
      <c r="L601">
        <v>28110</v>
      </c>
      <c r="M601" t="s">
        <v>26</v>
      </c>
      <c r="N601" t="s">
        <v>2748</v>
      </c>
      <c r="O601" t="s">
        <v>28</v>
      </c>
      <c r="P601" t="s">
        <v>119</v>
      </c>
      <c r="Q601" t="s">
        <v>2749</v>
      </c>
      <c r="R601">
        <v>207</v>
      </c>
    </row>
    <row r="602" spans="1:18" x14ac:dyDescent="0.3">
      <c r="A602" t="s">
        <v>2750</v>
      </c>
      <c r="B602" s="1">
        <v>43150</v>
      </c>
      <c r="C602" s="1">
        <v>43152</v>
      </c>
      <c r="D602" s="1">
        <v>43132</v>
      </c>
      <c r="E602" t="s">
        <v>19</v>
      </c>
      <c r="F602" t="s">
        <v>2751</v>
      </c>
      <c r="G602" t="s">
        <v>2752</v>
      </c>
      <c r="H602" t="s">
        <v>34</v>
      </c>
      <c r="I602" t="s">
        <v>23</v>
      </c>
      <c r="J602" t="s">
        <v>2018</v>
      </c>
      <c r="K602" t="s">
        <v>845</v>
      </c>
      <c r="L602">
        <v>30076</v>
      </c>
      <c r="M602" t="s">
        <v>26</v>
      </c>
      <c r="N602" t="s">
        <v>2753</v>
      </c>
      <c r="O602" t="s">
        <v>39</v>
      </c>
      <c r="P602" t="s">
        <v>81</v>
      </c>
      <c r="Q602" t="s">
        <v>2754</v>
      </c>
      <c r="R602">
        <v>124586</v>
      </c>
    </row>
    <row r="603" spans="1:18" x14ac:dyDescent="0.3">
      <c r="A603" t="s">
        <v>2755</v>
      </c>
      <c r="B603" s="1">
        <v>42217</v>
      </c>
      <c r="C603" s="1">
        <v>42221</v>
      </c>
      <c r="D603" s="1">
        <v>42217</v>
      </c>
      <c r="E603" t="s">
        <v>43</v>
      </c>
      <c r="F603" t="s">
        <v>2756</v>
      </c>
      <c r="G603" t="s">
        <v>2757</v>
      </c>
      <c r="H603" t="s">
        <v>34</v>
      </c>
      <c r="I603" t="s">
        <v>23</v>
      </c>
      <c r="J603" t="s">
        <v>352</v>
      </c>
      <c r="K603" t="s">
        <v>61</v>
      </c>
      <c r="L603">
        <v>28205</v>
      </c>
      <c r="M603" t="s">
        <v>26</v>
      </c>
      <c r="N603" t="s">
        <v>38</v>
      </c>
      <c r="O603" t="s">
        <v>39</v>
      </c>
      <c r="P603" t="s">
        <v>40</v>
      </c>
      <c r="Q603" t="s">
        <v>41</v>
      </c>
      <c r="R603">
        <v>17544</v>
      </c>
    </row>
    <row r="604" spans="1:18" x14ac:dyDescent="0.3">
      <c r="A604" t="s">
        <v>2758</v>
      </c>
      <c r="B604" s="1">
        <v>43112</v>
      </c>
      <c r="C604" s="1">
        <v>43117</v>
      </c>
      <c r="D604" s="1">
        <v>43101</v>
      </c>
      <c r="E604" t="s">
        <v>19</v>
      </c>
      <c r="F604" t="s">
        <v>2650</v>
      </c>
      <c r="G604" t="s">
        <v>2651</v>
      </c>
      <c r="H604" t="s">
        <v>76</v>
      </c>
      <c r="I604" t="s">
        <v>23</v>
      </c>
      <c r="J604" t="s">
        <v>69</v>
      </c>
      <c r="K604" t="s">
        <v>1917</v>
      </c>
      <c r="L604">
        <v>20016</v>
      </c>
      <c r="M604" t="s">
        <v>117</v>
      </c>
      <c r="N604" t="s">
        <v>421</v>
      </c>
      <c r="O604" t="s">
        <v>39</v>
      </c>
      <c r="P604" t="s">
        <v>63</v>
      </c>
      <c r="Q604" t="s">
        <v>422</v>
      </c>
      <c r="R604">
        <v>4008</v>
      </c>
    </row>
    <row r="605" spans="1:18" x14ac:dyDescent="0.3">
      <c r="A605" t="s">
        <v>2759</v>
      </c>
      <c r="B605" s="1">
        <v>42571</v>
      </c>
      <c r="C605" s="1">
        <v>42576</v>
      </c>
      <c r="D605" s="1">
        <v>42552</v>
      </c>
      <c r="E605" t="s">
        <v>19</v>
      </c>
      <c r="F605" t="s">
        <v>2760</v>
      </c>
      <c r="G605" t="s">
        <v>2761</v>
      </c>
      <c r="H605" t="s">
        <v>22</v>
      </c>
      <c r="I605" t="s">
        <v>23</v>
      </c>
      <c r="J605" t="s">
        <v>2762</v>
      </c>
      <c r="K605" t="s">
        <v>200</v>
      </c>
      <c r="L605">
        <v>46614</v>
      </c>
      <c r="M605" t="s">
        <v>79</v>
      </c>
      <c r="N605" t="s">
        <v>2763</v>
      </c>
      <c r="O605" t="s">
        <v>39</v>
      </c>
      <c r="P605" t="s">
        <v>89</v>
      </c>
      <c r="Q605" t="s">
        <v>2764</v>
      </c>
      <c r="R605">
        <v>3476</v>
      </c>
    </row>
    <row r="606" spans="1:18" x14ac:dyDescent="0.3">
      <c r="A606" t="s">
        <v>2765</v>
      </c>
      <c r="B606" s="1">
        <v>42168</v>
      </c>
      <c r="C606" s="1">
        <v>42172</v>
      </c>
      <c r="D606" s="1">
        <v>42156</v>
      </c>
      <c r="E606" t="s">
        <v>43</v>
      </c>
      <c r="F606" t="s">
        <v>2633</v>
      </c>
      <c r="G606" t="s">
        <v>2634</v>
      </c>
      <c r="H606" t="s">
        <v>34</v>
      </c>
      <c r="I606" t="s">
        <v>23</v>
      </c>
      <c r="J606" t="s">
        <v>35</v>
      </c>
      <c r="K606" t="s">
        <v>36</v>
      </c>
      <c r="L606">
        <v>90032</v>
      </c>
      <c r="M606" t="s">
        <v>37</v>
      </c>
      <c r="N606" t="s">
        <v>2766</v>
      </c>
      <c r="O606" t="s">
        <v>39</v>
      </c>
      <c r="P606" t="s">
        <v>103</v>
      </c>
      <c r="Q606" t="s">
        <v>1919</v>
      </c>
      <c r="R606">
        <v>1452</v>
      </c>
    </row>
    <row r="607" spans="1:18" x14ac:dyDescent="0.3">
      <c r="A607" t="s">
        <v>2767</v>
      </c>
      <c r="B607" s="1">
        <v>43232</v>
      </c>
      <c r="C607" s="1">
        <v>43235</v>
      </c>
      <c r="D607" s="1">
        <v>43221</v>
      </c>
      <c r="E607" t="s">
        <v>19</v>
      </c>
      <c r="F607" t="s">
        <v>807</v>
      </c>
      <c r="G607" t="s">
        <v>808</v>
      </c>
      <c r="H607" t="s">
        <v>34</v>
      </c>
      <c r="I607" t="s">
        <v>23</v>
      </c>
      <c r="J607" t="s">
        <v>138</v>
      </c>
      <c r="K607" t="s">
        <v>78</v>
      </c>
      <c r="L607">
        <v>77041</v>
      </c>
      <c r="M607" t="s">
        <v>79</v>
      </c>
      <c r="N607" t="s">
        <v>2141</v>
      </c>
      <c r="O607" t="s">
        <v>39</v>
      </c>
      <c r="P607" t="s">
        <v>89</v>
      </c>
      <c r="Q607" t="s">
        <v>2142</v>
      </c>
      <c r="R607">
        <v>12792</v>
      </c>
    </row>
    <row r="608" spans="1:18" x14ac:dyDescent="0.3">
      <c r="A608" t="s">
        <v>2768</v>
      </c>
      <c r="B608" s="1">
        <v>43185</v>
      </c>
      <c r="C608" s="1">
        <v>43186</v>
      </c>
      <c r="D608" s="1">
        <v>43160</v>
      </c>
      <c r="E608" t="s">
        <v>142</v>
      </c>
      <c r="F608" t="s">
        <v>1594</v>
      </c>
      <c r="G608" t="s">
        <v>1595</v>
      </c>
      <c r="H608" t="s">
        <v>22</v>
      </c>
      <c r="I608" t="s">
        <v>23</v>
      </c>
      <c r="J608" t="s">
        <v>206</v>
      </c>
      <c r="K608" t="s">
        <v>207</v>
      </c>
      <c r="L608">
        <v>10009</v>
      </c>
      <c r="M608" t="s">
        <v>117</v>
      </c>
      <c r="N608" t="s">
        <v>2769</v>
      </c>
      <c r="O608" t="s">
        <v>28</v>
      </c>
      <c r="P608" t="s">
        <v>29</v>
      </c>
      <c r="Q608" t="s">
        <v>2770</v>
      </c>
      <c r="R608">
        <v>257568</v>
      </c>
    </row>
    <row r="609" spans="1:18" x14ac:dyDescent="0.3">
      <c r="A609" t="s">
        <v>2771</v>
      </c>
      <c r="B609" s="1">
        <v>42320</v>
      </c>
      <c r="C609" s="1">
        <v>42320</v>
      </c>
      <c r="D609" s="1">
        <v>42309</v>
      </c>
      <c r="E609" t="s">
        <v>857</v>
      </c>
      <c r="F609" t="s">
        <v>960</v>
      </c>
      <c r="G609" t="s">
        <v>961</v>
      </c>
      <c r="H609" t="s">
        <v>22</v>
      </c>
      <c r="I609" t="s">
        <v>23</v>
      </c>
      <c r="J609" t="s">
        <v>502</v>
      </c>
      <c r="K609" t="s">
        <v>78</v>
      </c>
      <c r="L609">
        <v>78207</v>
      </c>
      <c r="M609" t="s">
        <v>79</v>
      </c>
      <c r="N609" t="s">
        <v>551</v>
      </c>
      <c r="O609" t="s">
        <v>39</v>
      </c>
      <c r="P609" t="s">
        <v>89</v>
      </c>
      <c r="Q609" t="s">
        <v>552</v>
      </c>
      <c r="R609">
        <v>49632</v>
      </c>
    </row>
    <row r="610" spans="1:18" x14ac:dyDescent="0.3">
      <c r="A610" t="s">
        <v>2772</v>
      </c>
      <c r="B610" s="1">
        <v>42546</v>
      </c>
      <c r="C610" s="1">
        <v>42552</v>
      </c>
      <c r="D610" s="1">
        <v>42522</v>
      </c>
      <c r="E610" t="s">
        <v>43</v>
      </c>
      <c r="F610" t="s">
        <v>2739</v>
      </c>
      <c r="G610" t="s">
        <v>2740</v>
      </c>
      <c r="H610" t="s">
        <v>76</v>
      </c>
      <c r="I610" t="s">
        <v>23</v>
      </c>
      <c r="J610" t="s">
        <v>115</v>
      </c>
      <c r="K610" t="s">
        <v>116</v>
      </c>
      <c r="L610">
        <v>19143</v>
      </c>
      <c r="M610" t="s">
        <v>117</v>
      </c>
      <c r="N610" t="s">
        <v>2773</v>
      </c>
      <c r="O610" t="s">
        <v>39</v>
      </c>
      <c r="P610" t="s">
        <v>63</v>
      </c>
      <c r="Q610" t="s">
        <v>2774</v>
      </c>
      <c r="R610">
        <v>31104</v>
      </c>
    </row>
    <row r="611" spans="1:18" x14ac:dyDescent="0.3">
      <c r="A611" t="s">
        <v>2775</v>
      </c>
      <c r="B611" s="1">
        <v>42206</v>
      </c>
      <c r="C611" s="1">
        <v>42210</v>
      </c>
      <c r="D611" s="1">
        <v>42186</v>
      </c>
      <c r="E611" t="s">
        <v>43</v>
      </c>
      <c r="F611" t="s">
        <v>2776</v>
      </c>
      <c r="G611" t="s">
        <v>2777</v>
      </c>
      <c r="H611" t="s">
        <v>34</v>
      </c>
      <c r="I611" t="s">
        <v>23</v>
      </c>
      <c r="J611" t="s">
        <v>101</v>
      </c>
      <c r="K611" t="s">
        <v>36</v>
      </c>
      <c r="L611">
        <v>94122</v>
      </c>
      <c r="M611" t="s">
        <v>37</v>
      </c>
      <c r="N611" t="s">
        <v>2778</v>
      </c>
      <c r="O611" t="s">
        <v>39</v>
      </c>
      <c r="P611" t="s">
        <v>103</v>
      </c>
      <c r="Q611" t="s">
        <v>2779</v>
      </c>
      <c r="R611">
        <v>992</v>
      </c>
    </row>
    <row r="612" spans="1:18" x14ac:dyDescent="0.3">
      <c r="A612" t="s">
        <v>2780</v>
      </c>
      <c r="B612" s="1">
        <v>43425</v>
      </c>
      <c r="C612" s="1">
        <v>43429</v>
      </c>
      <c r="D612" s="1">
        <v>43405</v>
      </c>
      <c r="E612" t="s">
        <v>43</v>
      </c>
      <c r="F612" t="s">
        <v>2781</v>
      </c>
      <c r="G612" t="s">
        <v>2782</v>
      </c>
      <c r="H612" t="s">
        <v>22</v>
      </c>
      <c r="I612" t="s">
        <v>23</v>
      </c>
      <c r="J612" t="s">
        <v>2783</v>
      </c>
      <c r="K612" t="s">
        <v>69</v>
      </c>
      <c r="L612">
        <v>99207</v>
      </c>
      <c r="M612" t="s">
        <v>37</v>
      </c>
      <c r="N612" t="s">
        <v>2784</v>
      </c>
      <c r="O612" t="s">
        <v>28</v>
      </c>
      <c r="P612" t="s">
        <v>49</v>
      </c>
      <c r="Q612" t="s">
        <v>2785</v>
      </c>
      <c r="R612">
        <v>7098</v>
      </c>
    </row>
    <row r="613" spans="1:18" x14ac:dyDescent="0.3">
      <c r="A613" t="s">
        <v>2786</v>
      </c>
      <c r="B613" s="1">
        <v>42159</v>
      </c>
      <c r="C613" s="1">
        <v>42164</v>
      </c>
      <c r="D613" s="1">
        <v>42156</v>
      </c>
      <c r="E613" t="s">
        <v>43</v>
      </c>
      <c r="F613" t="s">
        <v>554</v>
      </c>
      <c r="G613" t="s">
        <v>555</v>
      </c>
      <c r="H613" t="s">
        <v>76</v>
      </c>
      <c r="I613" t="s">
        <v>23</v>
      </c>
      <c r="J613" t="s">
        <v>376</v>
      </c>
      <c r="K613" t="s">
        <v>377</v>
      </c>
      <c r="L613">
        <v>43229</v>
      </c>
      <c r="M613" t="s">
        <v>117</v>
      </c>
      <c r="N613" t="s">
        <v>2362</v>
      </c>
      <c r="O613" t="s">
        <v>39</v>
      </c>
      <c r="P613" t="s">
        <v>63</v>
      </c>
      <c r="Q613" t="s">
        <v>140</v>
      </c>
      <c r="R613">
        <v>16224</v>
      </c>
    </row>
    <row r="614" spans="1:18" x14ac:dyDescent="0.3">
      <c r="A614" t="s">
        <v>2787</v>
      </c>
      <c r="B614" s="1">
        <v>42804</v>
      </c>
      <c r="C614" s="1">
        <v>42810</v>
      </c>
      <c r="D614" s="1">
        <v>42795</v>
      </c>
      <c r="E614" t="s">
        <v>43</v>
      </c>
      <c r="F614" t="s">
        <v>2788</v>
      </c>
      <c r="G614" t="s">
        <v>2789</v>
      </c>
      <c r="H614" t="s">
        <v>22</v>
      </c>
      <c r="I614" t="s">
        <v>23</v>
      </c>
      <c r="J614" t="s">
        <v>1252</v>
      </c>
      <c r="K614" t="s">
        <v>207</v>
      </c>
      <c r="L614">
        <v>11561</v>
      </c>
      <c r="M614" t="s">
        <v>117</v>
      </c>
      <c r="N614" t="s">
        <v>2790</v>
      </c>
      <c r="O614" t="s">
        <v>28</v>
      </c>
      <c r="P614" t="s">
        <v>29</v>
      </c>
      <c r="Q614" t="s">
        <v>2791</v>
      </c>
      <c r="R614">
        <v>176784</v>
      </c>
    </row>
    <row r="615" spans="1:18" x14ac:dyDescent="0.3">
      <c r="A615" t="s">
        <v>2792</v>
      </c>
      <c r="B615" s="1">
        <v>43184</v>
      </c>
      <c r="C615" s="1">
        <v>43188</v>
      </c>
      <c r="D615" s="1">
        <v>43160</v>
      </c>
      <c r="E615" t="s">
        <v>43</v>
      </c>
      <c r="F615" t="s">
        <v>2793</v>
      </c>
      <c r="G615" t="s">
        <v>2794</v>
      </c>
      <c r="H615" t="s">
        <v>22</v>
      </c>
      <c r="I615" t="s">
        <v>23</v>
      </c>
      <c r="J615" t="s">
        <v>502</v>
      </c>
      <c r="K615" t="s">
        <v>78</v>
      </c>
      <c r="L615">
        <v>78207</v>
      </c>
      <c r="M615" t="s">
        <v>79</v>
      </c>
      <c r="N615" t="s">
        <v>1181</v>
      </c>
      <c r="O615" t="s">
        <v>147</v>
      </c>
      <c r="P615" t="s">
        <v>148</v>
      </c>
      <c r="Q615" t="s">
        <v>1182</v>
      </c>
      <c r="R615">
        <v>470376</v>
      </c>
    </row>
    <row r="616" spans="1:18" x14ac:dyDescent="0.3">
      <c r="A616" t="s">
        <v>2795</v>
      </c>
      <c r="B616" s="1">
        <v>43463</v>
      </c>
      <c r="C616" s="1">
        <v>43467</v>
      </c>
      <c r="D616" s="1">
        <v>43435</v>
      </c>
      <c r="E616" t="s">
        <v>43</v>
      </c>
      <c r="F616" t="s">
        <v>2564</v>
      </c>
      <c r="G616" t="s">
        <v>2565</v>
      </c>
      <c r="H616" t="s">
        <v>22</v>
      </c>
      <c r="I616" t="s">
        <v>23</v>
      </c>
      <c r="J616" t="s">
        <v>35</v>
      </c>
      <c r="K616" t="s">
        <v>36</v>
      </c>
      <c r="L616">
        <v>90049</v>
      </c>
      <c r="M616" t="s">
        <v>37</v>
      </c>
      <c r="N616" t="s">
        <v>2244</v>
      </c>
      <c r="O616" t="s">
        <v>28</v>
      </c>
      <c r="P616" t="s">
        <v>119</v>
      </c>
      <c r="Q616" t="s">
        <v>2245</v>
      </c>
      <c r="R616">
        <v>393568</v>
      </c>
    </row>
    <row r="617" spans="1:18" x14ac:dyDescent="0.3">
      <c r="A617" t="s">
        <v>2796</v>
      </c>
      <c r="B617" s="1">
        <v>43187</v>
      </c>
      <c r="C617" s="1">
        <v>43192</v>
      </c>
      <c r="D617" s="1">
        <v>43160</v>
      </c>
      <c r="E617" t="s">
        <v>43</v>
      </c>
      <c r="F617" t="s">
        <v>1659</v>
      </c>
      <c r="G617" t="s">
        <v>1660</v>
      </c>
      <c r="H617" t="s">
        <v>34</v>
      </c>
      <c r="I617" t="s">
        <v>23</v>
      </c>
      <c r="J617" t="s">
        <v>1007</v>
      </c>
      <c r="K617" t="s">
        <v>47</v>
      </c>
      <c r="L617">
        <v>32216</v>
      </c>
      <c r="M617" t="s">
        <v>26</v>
      </c>
      <c r="N617" t="s">
        <v>2797</v>
      </c>
      <c r="O617" t="s">
        <v>39</v>
      </c>
      <c r="P617" t="s">
        <v>71</v>
      </c>
      <c r="Q617" t="s">
        <v>2798</v>
      </c>
      <c r="R617">
        <v>68742</v>
      </c>
    </row>
    <row r="618" spans="1:18" x14ac:dyDescent="0.3">
      <c r="A618" t="s">
        <v>2799</v>
      </c>
      <c r="B618" s="1">
        <v>42434</v>
      </c>
      <c r="C618" s="1">
        <v>42434</v>
      </c>
      <c r="D618" s="1">
        <v>42430</v>
      </c>
      <c r="E618" t="s">
        <v>857</v>
      </c>
      <c r="F618" t="s">
        <v>950</v>
      </c>
      <c r="G618" t="s">
        <v>951</v>
      </c>
      <c r="H618" t="s">
        <v>22</v>
      </c>
      <c r="I618" t="s">
        <v>23</v>
      </c>
      <c r="J618" t="s">
        <v>206</v>
      </c>
      <c r="K618" t="s">
        <v>207</v>
      </c>
      <c r="L618">
        <v>10011</v>
      </c>
      <c r="M618" t="s">
        <v>117</v>
      </c>
      <c r="N618" t="s">
        <v>2800</v>
      </c>
      <c r="O618" t="s">
        <v>39</v>
      </c>
      <c r="P618" t="s">
        <v>154</v>
      </c>
      <c r="Q618" t="s">
        <v>493</v>
      </c>
      <c r="R618">
        <v>2934</v>
      </c>
    </row>
    <row r="619" spans="1:18" x14ac:dyDescent="0.3">
      <c r="A619" t="s">
        <v>2801</v>
      </c>
      <c r="B619" s="1">
        <v>43119</v>
      </c>
      <c r="C619" s="1">
        <v>43123</v>
      </c>
      <c r="D619" s="1">
        <v>43101</v>
      </c>
      <c r="E619" t="s">
        <v>19</v>
      </c>
      <c r="F619" t="s">
        <v>1549</v>
      </c>
      <c r="G619" t="s">
        <v>1550</v>
      </c>
      <c r="H619" t="s">
        <v>22</v>
      </c>
      <c r="I619" t="s">
        <v>23</v>
      </c>
      <c r="J619" t="s">
        <v>2802</v>
      </c>
      <c r="K619" t="s">
        <v>78</v>
      </c>
      <c r="L619">
        <v>76248</v>
      </c>
      <c r="M619" t="s">
        <v>79</v>
      </c>
      <c r="N619" t="s">
        <v>2803</v>
      </c>
      <c r="O619" t="s">
        <v>39</v>
      </c>
      <c r="P619" t="s">
        <v>40</v>
      </c>
      <c r="Q619" t="s">
        <v>2804</v>
      </c>
      <c r="R619">
        <v>6</v>
      </c>
    </row>
    <row r="620" spans="1:18" x14ac:dyDescent="0.3">
      <c r="A620" t="s">
        <v>2805</v>
      </c>
      <c r="B620" s="1">
        <v>42298</v>
      </c>
      <c r="C620" s="1">
        <v>42299</v>
      </c>
      <c r="D620" s="1">
        <v>42278</v>
      </c>
      <c r="E620" t="s">
        <v>142</v>
      </c>
      <c r="F620" t="s">
        <v>131</v>
      </c>
      <c r="G620" t="s">
        <v>132</v>
      </c>
      <c r="H620" t="s">
        <v>22</v>
      </c>
      <c r="I620" t="s">
        <v>23</v>
      </c>
      <c r="J620" t="s">
        <v>538</v>
      </c>
      <c r="K620" t="s">
        <v>377</v>
      </c>
      <c r="L620">
        <v>45014</v>
      </c>
      <c r="M620" t="s">
        <v>117</v>
      </c>
      <c r="N620" t="s">
        <v>1287</v>
      </c>
      <c r="O620" t="s">
        <v>39</v>
      </c>
      <c r="P620" t="s">
        <v>81</v>
      </c>
      <c r="Q620" t="s">
        <v>1288</v>
      </c>
      <c r="R620">
        <v>121792</v>
      </c>
    </row>
    <row r="621" spans="1:18" x14ac:dyDescent="0.3">
      <c r="A621" t="s">
        <v>2806</v>
      </c>
      <c r="B621" s="1">
        <v>42077</v>
      </c>
      <c r="C621" s="1">
        <v>42081</v>
      </c>
      <c r="D621" s="1">
        <v>42064</v>
      </c>
      <c r="E621" t="s">
        <v>43</v>
      </c>
      <c r="F621" t="s">
        <v>903</v>
      </c>
      <c r="G621" t="s">
        <v>904</v>
      </c>
      <c r="H621" t="s">
        <v>34</v>
      </c>
      <c r="I621" t="s">
        <v>23</v>
      </c>
      <c r="J621" t="s">
        <v>2807</v>
      </c>
      <c r="K621" t="s">
        <v>36</v>
      </c>
      <c r="L621">
        <v>92646</v>
      </c>
      <c r="M621" t="s">
        <v>37</v>
      </c>
      <c r="N621" t="s">
        <v>2808</v>
      </c>
      <c r="O621" t="s">
        <v>39</v>
      </c>
      <c r="P621" t="s">
        <v>63</v>
      </c>
      <c r="Q621" t="s">
        <v>2809</v>
      </c>
      <c r="R621">
        <v>1056</v>
      </c>
    </row>
    <row r="622" spans="1:18" x14ac:dyDescent="0.3">
      <c r="A622" t="s">
        <v>2810</v>
      </c>
      <c r="B622" s="1">
        <v>42735</v>
      </c>
      <c r="C622" s="1">
        <v>42739</v>
      </c>
      <c r="D622" s="1">
        <v>42705</v>
      </c>
      <c r="E622" t="s">
        <v>43</v>
      </c>
      <c r="F622" t="s">
        <v>729</v>
      </c>
      <c r="G622" t="s">
        <v>730</v>
      </c>
      <c r="H622" t="s">
        <v>22</v>
      </c>
      <c r="I622" t="s">
        <v>23</v>
      </c>
      <c r="J622" t="s">
        <v>2811</v>
      </c>
      <c r="K622" t="s">
        <v>1141</v>
      </c>
      <c r="L622">
        <v>59801</v>
      </c>
      <c r="M622" t="s">
        <v>37</v>
      </c>
      <c r="N622" t="s">
        <v>2812</v>
      </c>
      <c r="O622" t="s">
        <v>39</v>
      </c>
      <c r="P622" t="s">
        <v>71</v>
      </c>
      <c r="Q622" t="s">
        <v>2813</v>
      </c>
      <c r="R622">
        <v>487984</v>
      </c>
    </row>
    <row r="623" spans="1:18" x14ac:dyDescent="0.3">
      <c r="A623" t="s">
        <v>2814</v>
      </c>
      <c r="B623" s="1">
        <v>43376</v>
      </c>
      <c r="C623" s="1">
        <v>43379</v>
      </c>
      <c r="D623" s="1">
        <v>43374</v>
      </c>
      <c r="E623" t="s">
        <v>142</v>
      </c>
      <c r="F623" t="s">
        <v>2815</v>
      </c>
      <c r="G623" t="s">
        <v>2816</v>
      </c>
      <c r="H623" t="s">
        <v>22</v>
      </c>
      <c r="I623" t="s">
        <v>23</v>
      </c>
      <c r="J623" t="s">
        <v>306</v>
      </c>
      <c r="K623" t="s">
        <v>178</v>
      </c>
      <c r="L623">
        <v>55407</v>
      </c>
      <c r="M623" t="s">
        <v>79</v>
      </c>
      <c r="N623" t="s">
        <v>2817</v>
      </c>
      <c r="O623" t="s">
        <v>39</v>
      </c>
      <c r="P623" t="s">
        <v>71</v>
      </c>
      <c r="Q623" t="s">
        <v>2818</v>
      </c>
      <c r="R623">
        <v>179398</v>
      </c>
    </row>
    <row r="624" spans="1:18" x14ac:dyDescent="0.3">
      <c r="A624" t="s">
        <v>2819</v>
      </c>
      <c r="B624" s="1">
        <v>42915</v>
      </c>
      <c r="C624" s="1">
        <v>42919</v>
      </c>
      <c r="D624" s="1">
        <v>42887</v>
      </c>
      <c r="E624" t="s">
        <v>19</v>
      </c>
      <c r="F624" t="s">
        <v>2401</v>
      </c>
      <c r="G624" t="s">
        <v>2402</v>
      </c>
      <c r="H624" t="s">
        <v>22</v>
      </c>
      <c r="I624" t="s">
        <v>23</v>
      </c>
      <c r="J624" t="s">
        <v>2820</v>
      </c>
      <c r="K624" t="s">
        <v>284</v>
      </c>
      <c r="L624">
        <v>29501</v>
      </c>
      <c r="M624" t="s">
        <v>26</v>
      </c>
      <c r="N624" t="s">
        <v>2141</v>
      </c>
      <c r="O624" t="s">
        <v>39</v>
      </c>
      <c r="P624" t="s">
        <v>89</v>
      </c>
      <c r="Q624" t="s">
        <v>2142</v>
      </c>
      <c r="R624">
        <v>19188</v>
      </c>
    </row>
    <row r="625" spans="1:18" x14ac:dyDescent="0.3">
      <c r="A625" t="s">
        <v>2821</v>
      </c>
      <c r="B625" s="1">
        <v>42967</v>
      </c>
      <c r="C625" s="1">
        <v>42970</v>
      </c>
      <c r="D625" s="1">
        <v>42948</v>
      </c>
      <c r="E625" t="s">
        <v>142</v>
      </c>
      <c r="F625" t="s">
        <v>652</v>
      </c>
      <c r="G625" t="s">
        <v>653</v>
      </c>
      <c r="H625" t="s">
        <v>76</v>
      </c>
      <c r="I625" t="s">
        <v>23</v>
      </c>
      <c r="J625" t="s">
        <v>628</v>
      </c>
      <c r="K625" t="s">
        <v>186</v>
      </c>
      <c r="L625">
        <v>48205</v>
      </c>
      <c r="M625" t="s">
        <v>79</v>
      </c>
      <c r="N625" t="s">
        <v>2822</v>
      </c>
      <c r="O625" t="s">
        <v>147</v>
      </c>
      <c r="P625" t="s">
        <v>148</v>
      </c>
      <c r="Q625" t="s">
        <v>2823</v>
      </c>
      <c r="R625">
        <v>1478</v>
      </c>
    </row>
    <row r="626" spans="1:18" x14ac:dyDescent="0.3">
      <c r="A626" t="s">
        <v>2824</v>
      </c>
      <c r="B626" s="1">
        <v>42872</v>
      </c>
      <c r="C626" s="1">
        <v>42876</v>
      </c>
      <c r="D626" s="1">
        <v>42856</v>
      </c>
      <c r="E626" t="s">
        <v>43</v>
      </c>
      <c r="F626" t="s">
        <v>2697</v>
      </c>
      <c r="G626" t="s">
        <v>2698</v>
      </c>
      <c r="H626" t="s">
        <v>34</v>
      </c>
      <c r="I626" t="s">
        <v>23</v>
      </c>
      <c r="J626" t="s">
        <v>2825</v>
      </c>
      <c r="K626" t="s">
        <v>47</v>
      </c>
      <c r="L626">
        <v>32712</v>
      </c>
      <c r="M626" t="s">
        <v>26</v>
      </c>
      <c r="N626" t="s">
        <v>2826</v>
      </c>
      <c r="O626" t="s">
        <v>39</v>
      </c>
      <c r="P626" t="s">
        <v>71</v>
      </c>
      <c r="Q626" t="s">
        <v>2827</v>
      </c>
      <c r="R626">
        <v>2952</v>
      </c>
    </row>
    <row r="627" spans="1:18" x14ac:dyDescent="0.3">
      <c r="A627" t="s">
        <v>2828</v>
      </c>
      <c r="B627" s="1">
        <v>43054</v>
      </c>
      <c r="C627" s="1">
        <v>43061</v>
      </c>
      <c r="D627" s="1">
        <v>43040</v>
      </c>
      <c r="E627" t="s">
        <v>43</v>
      </c>
      <c r="F627" t="s">
        <v>2678</v>
      </c>
      <c r="G627" t="s">
        <v>2679</v>
      </c>
      <c r="H627" t="s">
        <v>34</v>
      </c>
      <c r="I627" t="s">
        <v>23</v>
      </c>
      <c r="J627" t="s">
        <v>35</v>
      </c>
      <c r="K627" t="s">
        <v>36</v>
      </c>
      <c r="L627">
        <v>90008</v>
      </c>
      <c r="M627" t="s">
        <v>37</v>
      </c>
      <c r="N627" t="s">
        <v>2829</v>
      </c>
      <c r="O627" t="s">
        <v>147</v>
      </c>
      <c r="P627" t="s">
        <v>180</v>
      </c>
      <c r="Q627" t="s">
        <v>2830</v>
      </c>
      <c r="R627">
        <v>9939</v>
      </c>
    </row>
    <row r="628" spans="1:18" x14ac:dyDescent="0.3">
      <c r="A628" t="s">
        <v>2831</v>
      </c>
      <c r="B628" s="1">
        <v>42019</v>
      </c>
      <c r="C628" s="1">
        <v>42021</v>
      </c>
      <c r="D628" s="1">
        <v>42005</v>
      </c>
      <c r="E628" t="s">
        <v>142</v>
      </c>
      <c r="F628" t="s">
        <v>2832</v>
      </c>
      <c r="G628" t="s">
        <v>2833</v>
      </c>
      <c r="H628" t="s">
        <v>22</v>
      </c>
      <c r="I628" t="s">
        <v>23</v>
      </c>
      <c r="J628" t="s">
        <v>2018</v>
      </c>
      <c r="K628" t="s">
        <v>845</v>
      </c>
      <c r="L628">
        <v>30076</v>
      </c>
      <c r="M628" t="s">
        <v>26</v>
      </c>
      <c r="N628" t="s">
        <v>710</v>
      </c>
      <c r="O628" t="s">
        <v>147</v>
      </c>
      <c r="P628" t="s">
        <v>180</v>
      </c>
      <c r="Q628" t="s">
        <v>711</v>
      </c>
      <c r="R628">
        <v>14995</v>
      </c>
    </row>
    <row r="629" spans="1:18" x14ac:dyDescent="0.3">
      <c r="A629" t="s">
        <v>2834</v>
      </c>
      <c r="B629" s="1">
        <v>42682</v>
      </c>
      <c r="C629" s="1">
        <v>42688</v>
      </c>
      <c r="D629" s="1">
        <v>42675</v>
      </c>
      <c r="E629" t="s">
        <v>43</v>
      </c>
      <c r="F629" t="s">
        <v>2309</v>
      </c>
      <c r="G629" t="s">
        <v>2310</v>
      </c>
      <c r="H629" t="s">
        <v>22</v>
      </c>
      <c r="I629" t="s">
        <v>23</v>
      </c>
      <c r="J629" t="s">
        <v>596</v>
      </c>
      <c r="K629" t="s">
        <v>829</v>
      </c>
      <c r="L629">
        <v>2038</v>
      </c>
      <c r="M629" t="s">
        <v>117</v>
      </c>
      <c r="N629" t="s">
        <v>975</v>
      </c>
      <c r="O629" t="s">
        <v>39</v>
      </c>
      <c r="P629" t="s">
        <v>103</v>
      </c>
      <c r="Q629" t="s">
        <v>976</v>
      </c>
      <c r="R629">
        <v>1165</v>
      </c>
    </row>
    <row r="630" spans="1:18" x14ac:dyDescent="0.3">
      <c r="A630" t="s">
        <v>2835</v>
      </c>
      <c r="B630" s="1">
        <v>42673</v>
      </c>
      <c r="C630" s="1">
        <v>42675</v>
      </c>
      <c r="D630" s="1">
        <v>42644</v>
      </c>
      <c r="E630" t="s">
        <v>19</v>
      </c>
      <c r="F630" t="s">
        <v>2739</v>
      </c>
      <c r="G630" t="s">
        <v>2740</v>
      </c>
      <c r="H630" t="s">
        <v>76</v>
      </c>
      <c r="I630" t="s">
        <v>23</v>
      </c>
      <c r="J630" t="s">
        <v>628</v>
      </c>
      <c r="K630" t="s">
        <v>186</v>
      </c>
      <c r="L630">
        <v>48227</v>
      </c>
      <c r="M630" t="s">
        <v>79</v>
      </c>
      <c r="N630" t="s">
        <v>2836</v>
      </c>
      <c r="O630" t="s">
        <v>147</v>
      </c>
      <c r="P630" t="s">
        <v>148</v>
      </c>
      <c r="Q630" t="s">
        <v>2837</v>
      </c>
      <c r="R630">
        <v>2999</v>
      </c>
    </row>
    <row r="631" spans="1:18" x14ac:dyDescent="0.3">
      <c r="A631" t="s">
        <v>2838</v>
      </c>
      <c r="B631" s="1">
        <v>43329</v>
      </c>
      <c r="C631" s="1">
        <v>43331</v>
      </c>
      <c r="D631" s="1">
        <v>43313</v>
      </c>
      <c r="E631" t="s">
        <v>142</v>
      </c>
      <c r="F631" t="s">
        <v>2839</v>
      </c>
      <c r="G631" t="s">
        <v>2840</v>
      </c>
      <c r="H631" t="s">
        <v>34</v>
      </c>
      <c r="I631" t="s">
        <v>23</v>
      </c>
      <c r="J631" t="s">
        <v>2471</v>
      </c>
      <c r="K631" t="s">
        <v>207</v>
      </c>
      <c r="L631">
        <v>13601</v>
      </c>
      <c r="M631" t="s">
        <v>117</v>
      </c>
      <c r="N631" t="s">
        <v>2841</v>
      </c>
      <c r="O631" t="s">
        <v>39</v>
      </c>
      <c r="P631" t="s">
        <v>71</v>
      </c>
      <c r="Q631" t="s">
        <v>2842</v>
      </c>
      <c r="R631">
        <v>89592</v>
      </c>
    </row>
    <row r="632" spans="1:18" x14ac:dyDescent="0.3">
      <c r="A632" t="s">
        <v>2843</v>
      </c>
      <c r="B632" s="1">
        <v>42924</v>
      </c>
      <c r="C632" s="1">
        <v>42926</v>
      </c>
      <c r="D632" s="1">
        <v>42917</v>
      </c>
      <c r="E632" t="s">
        <v>19</v>
      </c>
      <c r="F632" t="s">
        <v>2844</v>
      </c>
      <c r="G632" t="s">
        <v>2845</v>
      </c>
      <c r="H632" t="s">
        <v>34</v>
      </c>
      <c r="I632" t="s">
        <v>23</v>
      </c>
      <c r="J632" t="s">
        <v>1374</v>
      </c>
      <c r="K632" t="s">
        <v>78</v>
      </c>
      <c r="L632">
        <v>76017</v>
      </c>
      <c r="M632" t="s">
        <v>79</v>
      </c>
      <c r="N632" t="s">
        <v>2846</v>
      </c>
      <c r="O632" t="s">
        <v>147</v>
      </c>
      <c r="P632" t="s">
        <v>148</v>
      </c>
      <c r="Q632" t="s">
        <v>2847</v>
      </c>
      <c r="R632">
        <v>86364</v>
      </c>
    </row>
    <row r="633" spans="1:18" x14ac:dyDescent="0.3">
      <c r="A633" t="s">
        <v>2848</v>
      </c>
      <c r="B633" s="1">
        <v>43168</v>
      </c>
      <c r="C633" s="1">
        <v>43172</v>
      </c>
      <c r="D633" s="1">
        <v>43160</v>
      </c>
      <c r="E633" t="s">
        <v>43</v>
      </c>
      <c r="F633" t="s">
        <v>1991</v>
      </c>
      <c r="G633" t="s">
        <v>1992</v>
      </c>
      <c r="H633" t="s">
        <v>34</v>
      </c>
      <c r="I633" t="s">
        <v>23</v>
      </c>
      <c r="J633" t="s">
        <v>101</v>
      </c>
      <c r="K633" t="s">
        <v>36</v>
      </c>
      <c r="L633">
        <v>94110</v>
      </c>
      <c r="M633" t="s">
        <v>37</v>
      </c>
      <c r="N633" t="s">
        <v>2849</v>
      </c>
      <c r="O633" t="s">
        <v>147</v>
      </c>
      <c r="P633" t="s">
        <v>180</v>
      </c>
      <c r="Q633" t="s">
        <v>2850</v>
      </c>
      <c r="R633">
        <v>19998</v>
      </c>
    </row>
    <row r="634" spans="1:18" x14ac:dyDescent="0.3">
      <c r="A634" t="s">
        <v>2851</v>
      </c>
      <c r="B634" s="1">
        <v>42895</v>
      </c>
      <c r="C634" s="1">
        <v>42901</v>
      </c>
      <c r="D634" s="1">
        <v>42887</v>
      </c>
      <c r="E634" t="s">
        <v>43</v>
      </c>
      <c r="F634" t="s">
        <v>2110</v>
      </c>
      <c r="G634" t="s">
        <v>2111</v>
      </c>
      <c r="H634" t="s">
        <v>22</v>
      </c>
      <c r="I634" t="s">
        <v>23</v>
      </c>
      <c r="J634" t="s">
        <v>35</v>
      </c>
      <c r="K634" t="s">
        <v>36</v>
      </c>
      <c r="L634">
        <v>90045</v>
      </c>
      <c r="M634" t="s">
        <v>37</v>
      </c>
      <c r="N634" t="s">
        <v>2852</v>
      </c>
      <c r="O634" t="s">
        <v>147</v>
      </c>
      <c r="P634" t="s">
        <v>148</v>
      </c>
      <c r="Q634" t="s">
        <v>2853</v>
      </c>
      <c r="R634">
        <v>17748</v>
      </c>
    </row>
    <row r="635" spans="1:18" x14ac:dyDescent="0.3">
      <c r="A635" t="s">
        <v>2854</v>
      </c>
      <c r="B635" s="1">
        <v>43175</v>
      </c>
      <c r="C635" s="1">
        <v>43177</v>
      </c>
      <c r="D635" s="1">
        <v>43160</v>
      </c>
      <c r="E635" t="s">
        <v>19</v>
      </c>
      <c r="F635" t="s">
        <v>2573</v>
      </c>
      <c r="G635" t="s">
        <v>2574</v>
      </c>
      <c r="H635" t="s">
        <v>76</v>
      </c>
      <c r="I635" t="s">
        <v>23</v>
      </c>
      <c r="J635" t="s">
        <v>68</v>
      </c>
      <c r="K635" t="s">
        <v>69</v>
      </c>
      <c r="L635">
        <v>98105</v>
      </c>
      <c r="M635" t="s">
        <v>37</v>
      </c>
      <c r="N635" t="s">
        <v>2855</v>
      </c>
      <c r="O635" t="s">
        <v>39</v>
      </c>
      <c r="P635" t="s">
        <v>63</v>
      </c>
      <c r="Q635" t="s">
        <v>2856</v>
      </c>
      <c r="R635">
        <v>648</v>
      </c>
    </row>
    <row r="636" spans="1:18" x14ac:dyDescent="0.3">
      <c r="A636" t="s">
        <v>2857</v>
      </c>
      <c r="B636" s="1">
        <v>43318</v>
      </c>
      <c r="C636" s="1">
        <v>43322</v>
      </c>
      <c r="D636" s="1">
        <v>43313</v>
      </c>
      <c r="E636" t="s">
        <v>19</v>
      </c>
      <c r="F636" t="s">
        <v>1447</v>
      </c>
      <c r="G636" t="s">
        <v>1448</v>
      </c>
      <c r="H636" t="s">
        <v>22</v>
      </c>
      <c r="I636" t="s">
        <v>23</v>
      </c>
      <c r="J636" t="s">
        <v>2858</v>
      </c>
      <c r="K636" t="s">
        <v>532</v>
      </c>
      <c r="L636">
        <v>70506</v>
      </c>
      <c r="M636" t="s">
        <v>26</v>
      </c>
      <c r="N636" t="s">
        <v>2859</v>
      </c>
      <c r="O636" t="s">
        <v>28</v>
      </c>
      <c r="P636" t="s">
        <v>29</v>
      </c>
      <c r="Q636" t="s">
        <v>2860</v>
      </c>
      <c r="R636">
        <v>14574</v>
      </c>
    </row>
    <row r="637" spans="1:18" x14ac:dyDescent="0.3">
      <c r="A637" t="s">
        <v>2861</v>
      </c>
      <c r="B637" s="1">
        <v>43341</v>
      </c>
      <c r="C637" s="1">
        <v>43344</v>
      </c>
      <c r="D637" s="1">
        <v>43313</v>
      </c>
      <c r="E637" t="s">
        <v>142</v>
      </c>
      <c r="F637" t="s">
        <v>2199</v>
      </c>
      <c r="G637" t="s">
        <v>2200</v>
      </c>
      <c r="H637" t="s">
        <v>34</v>
      </c>
      <c r="I637" t="s">
        <v>23</v>
      </c>
      <c r="J637" t="s">
        <v>878</v>
      </c>
      <c r="K637" t="s">
        <v>160</v>
      </c>
      <c r="L637">
        <v>62301</v>
      </c>
      <c r="M637" t="s">
        <v>79</v>
      </c>
      <c r="N637" t="s">
        <v>614</v>
      </c>
      <c r="O637" t="s">
        <v>39</v>
      </c>
      <c r="P637" t="s">
        <v>40</v>
      </c>
      <c r="Q637" t="s">
        <v>615</v>
      </c>
      <c r="R637">
        <v>4736</v>
      </c>
    </row>
    <row r="638" spans="1:18" x14ac:dyDescent="0.3">
      <c r="A638" t="s">
        <v>2862</v>
      </c>
      <c r="B638" s="1">
        <v>43226</v>
      </c>
      <c r="C638" s="1">
        <v>43231</v>
      </c>
      <c r="D638" s="1">
        <v>43221</v>
      </c>
      <c r="E638" t="s">
        <v>43</v>
      </c>
      <c r="F638" t="s">
        <v>2669</v>
      </c>
      <c r="G638" t="s">
        <v>2670</v>
      </c>
      <c r="H638" t="s">
        <v>76</v>
      </c>
      <c r="I638" t="s">
        <v>23</v>
      </c>
      <c r="J638" t="s">
        <v>225</v>
      </c>
      <c r="K638" t="s">
        <v>160</v>
      </c>
      <c r="L638">
        <v>60623</v>
      </c>
      <c r="M638" t="s">
        <v>79</v>
      </c>
      <c r="N638" t="s">
        <v>2863</v>
      </c>
      <c r="O638" t="s">
        <v>39</v>
      </c>
      <c r="P638" t="s">
        <v>103</v>
      </c>
      <c r="Q638" t="s">
        <v>2864</v>
      </c>
      <c r="R638">
        <v>6408</v>
      </c>
    </row>
    <row r="639" spans="1:18" x14ac:dyDescent="0.3">
      <c r="A639" t="s">
        <v>2865</v>
      </c>
      <c r="B639" s="1">
        <v>42352</v>
      </c>
      <c r="C639" s="1">
        <v>42357</v>
      </c>
      <c r="D639" s="1">
        <v>42339</v>
      </c>
      <c r="E639" t="s">
        <v>43</v>
      </c>
      <c r="F639" t="s">
        <v>2866</v>
      </c>
      <c r="G639" t="s">
        <v>2867</v>
      </c>
      <c r="H639" t="s">
        <v>22</v>
      </c>
      <c r="I639" t="s">
        <v>23</v>
      </c>
      <c r="J639" t="s">
        <v>225</v>
      </c>
      <c r="K639" t="s">
        <v>160</v>
      </c>
      <c r="L639">
        <v>60610</v>
      </c>
      <c r="M639" t="s">
        <v>79</v>
      </c>
      <c r="N639" t="s">
        <v>2868</v>
      </c>
      <c r="O639" t="s">
        <v>39</v>
      </c>
      <c r="P639" t="s">
        <v>71</v>
      </c>
      <c r="Q639" t="s">
        <v>2869</v>
      </c>
      <c r="R639">
        <v>5104</v>
      </c>
    </row>
    <row r="640" spans="1:18" x14ac:dyDescent="0.3">
      <c r="A640" t="s">
        <v>2870</v>
      </c>
      <c r="B640" s="1">
        <v>42295</v>
      </c>
      <c r="C640" s="1">
        <v>42297</v>
      </c>
      <c r="D640" s="1">
        <v>42278</v>
      </c>
      <c r="E640" t="s">
        <v>19</v>
      </c>
      <c r="F640" t="s">
        <v>743</v>
      </c>
      <c r="G640" t="s">
        <v>744</v>
      </c>
      <c r="H640" t="s">
        <v>34</v>
      </c>
      <c r="I640" t="s">
        <v>23</v>
      </c>
      <c r="J640" t="s">
        <v>1179</v>
      </c>
      <c r="K640" t="s">
        <v>1180</v>
      </c>
      <c r="L640">
        <v>36116</v>
      </c>
      <c r="M640" t="s">
        <v>26</v>
      </c>
      <c r="N640" t="s">
        <v>1378</v>
      </c>
      <c r="O640" t="s">
        <v>39</v>
      </c>
      <c r="P640" t="s">
        <v>89</v>
      </c>
      <c r="Q640" t="s">
        <v>1379</v>
      </c>
      <c r="R640">
        <v>27597</v>
      </c>
    </row>
    <row r="641" spans="1:18" x14ac:dyDescent="0.3">
      <c r="A641" t="s">
        <v>2871</v>
      </c>
      <c r="B641" s="1">
        <v>42718</v>
      </c>
      <c r="C641" s="1">
        <v>42720</v>
      </c>
      <c r="D641" s="1">
        <v>42705</v>
      </c>
      <c r="E641" t="s">
        <v>19</v>
      </c>
      <c r="F641" t="s">
        <v>876</v>
      </c>
      <c r="G641" t="s">
        <v>877</v>
      </c>
      <c r="H641" t="s">
        <v>34</v>
      </c>
      <c r="I641" t="s">
        <v>23</v>
      </c>
      <c r="J641" t="s">
        <v>376</v>
      </c>
      <c r="K641" t="s">
        <v>845</v>
      </c>
      <c r="L641">
        <v>31907</v>
      </c>
      <c r="M641" t="s">
        <v>26</v>
      </c>
      <c r="N641" t="s">
        <v>2872</v>
      </c>
      <c r="O641" t="s">
        <v>39</v>
      </c>
      <c r="P641" t="s">
        <v>71</v>
      </c>
      <c r="Q641" t="s">
        <v>2873</v>
      </c>
      <c r="R641">
        <v>376</v>
      </c>
    </row>
    <row r="642" spans="1:18" x14ac:dyDescent="0.3">
      <c r="A642" t="s">
        <v>2874</v>
      </c>
      <c r="B642" s="1">
        <v>42341</v>
      </c>
      <c r="C642" s="1">
        <v>42347</v>
      </c>
      <c r="D642" s="1">
        <v>42339</v>
      </c>
      <c r="E642" t="s">
        <v>43</v>
      </c>
      <c r="F642" t="s">
        <v>908</v>
      </c>
      <c r="G642" t="s">
        <v>909</v>
      </c>
      <c r="H642" t="s">
        <v>22</v>
      </c>
      <c r="I642" t="s">
        <v>23</v>
      </c>
      <c r="J642" t="s">
        <v>2875</v>
      </c>
      <c r="K642" t="s">
        <v>474</v>
      </c>
      <c r="L642">
        <v>73120</v>
      </c>
      <c r="M642" t="s">
        <v>79</v>
      </c>
      <c r="N642" t="s">
        <v>2876</v>
      </c>
      <c r="O642" t="s">
        <v>147</v>
      </c>
      <c r="P642" t="s">
        <v>148</v>
      </c>
      <c r="Q642" t="s">
        <v>2877</v>
      </c>
      <c r="R642">
        <v>47996</v>
      </c>
    </row>
    <row r="643" spans="1:18" x14ac:dyDescent="0.3">
      <c r="A643" t="s">
        <v>2878</v>
      </c>
      <c r="B643" s="1">
        <v>42333</v>
      </c>
      <c r="C643" s="1">
        <v>42335</v>
      </c>
      <c r="D643" s="1">
        <v>42309</v>
      </c>
      <c r="E643" t="s">
        <v>19</v>
      </c>
      <c r="F643" t="s">
        <v>2879</v>
      </c>
      <c r="G643" t="s">
        <v>2880</v>
      </c>
      <c r="H643" t="s">
        <v>34</v>
      </c>
      <c r="I643" t="s">
        <v>23</v>
      </c>
      <c r="J643" t="s">
        <v>690</v>
      </c>
      <c r="K643" t="s">
        <v>36</v>
      </c>
      <c r="L643">
        <v>94513</v>
      </c>
      <c r="M643" t="s">
        <v>37</v>
      </c>
      <c r="N643" t="s">
        <v>2881</v>
      </c>
      <c r="O643" t="s">
        <v>39</v>
      </c>
      <c r="P643" t="s">
        <v>81</v>
      </c>
      <c r="Q643" t="s">
        <v>2882</v>
      </c>
      <c r="R643">
        <v>32088</v>
      </c>
    </row>
    <row r="644" spans="1:18" x14ac:dyDescent="0.3">
      <c r="A644" t="s">
        <v>2883</v>
      </c>
      <c r="B644" s="1">
        <v>43155</v>
      </c>
      <c r="C644" s="1">
        <v>43159</v>
      </c>
      <c r="D644" s="1">
        <v>43132</v>
      </c>
      <c r="E644" t="s">
        <v>43</v>
      </c>
      <c r="F644" t="s">
        <v>2884</v>
      </c>
      <c r="G644" t="s">
        <v>2885</v>
      </c>
      <c r="H644" t="s">
        <v>22</v>
      </c>
      <c r="I644" t="s">
        <v>23</v>
      </c>
      <c r="J644" t="s">
        <v>115</v>
      </c>
      <c r="K644" t="s">
        <v>116</v>
      </c>
      <c r="L644">
        <v>19134</v>
      </c>
      <c r="M644" t="s">
        <v>117</v>
      </c>
      <c r="N644" t="s">
        <v>2886</v>
      </c>
      <c r="O644" t="s">
        <v>39</v>
      </c>
      <c r="P644" t="s">
        <v>71</v>
      </c>
      <c r="Q644" t="s">
        <v>2887</v>
      </c>
      <c r="R644">
        <v>4956</v>
      </c>
    </row>
    <row r="645" spans="1:18" x14ac:dyDescent="0.3">
      <c r="A645" t="s">
        <v>2888</v>
      </c>
      <c r="B645" s="1">
        <v>43276</v>
      </c>
      <c r="C645" s="1">
        <v>43283</v>
      </c>
      <c r="D645" s="1">
        <v>43252</v>
      </c>
      <c r="E645" t="s">
        <v>43</v>
      </c>
      <c r="F645" t="s">
        <v>2669</v>
      </c>
      <c r="G645" t="s">
        <v>2670</v>
      </c>
      <c r="H645" t="s">
        <v>76</v>
      </c>
      <c r="I645" t="s">
        <v>23</v>
      </c>
      <c r="J645" t="s">
        <v>238</v>
      </c>
      <c r="K645" t="s">
        <v>313</v>
      </c>
      <c r="L645">
        <v>97477</v>
      </c>
      <c r="M645" t="s">
        <v>37</v>
      </c>
      <c r="N645" t="s">
        <v>1094</v>
      </c>
      <c r="O645" t="s">
        <v>39</v>
      </c>
      <c r="P645" t="s">
        <v>40</v>
      </c>
      <c r="Q645" t="s">
        <v>1095</v>
      </c>
      <c r="R645">
        <v>7104</v>
      </c>
    </row>
    <row r="646" spans="1:18" x14ac:dyDescent="0.3">
      <c r="A646" t="s">
        <v>2889</v>
      </c>
      <c r="B646" s="1">
        <v>42041</v>
      </c>
      <c r="C646" s="1">
        <v>42044</v>
      </c>
      <c r="D646" s="1">
        <v>42036</v>
      </c>
      <c r="E646" t="s">
        <v>142</v>
      </c>
      <c r="F646" t="s">
        <v>2890</v>
      </c>
      <c r="G646" t="s">
        <v>2891</v>
      </c>
      <c r="H646" t="s">
        <v>34</v>
      </c>
      <c r="I646" t="s">
        <v>23</v>
      </c>
      <c r="J646" t="s">
        <v>2892</v>
      </c>
      <c r="K646" t="s">
        <v>239</v>
      </c>
      <c r="L646">
        <v>23320</v>
      </c>
      <c r="M646" t="s">
        <v>26</v>
      </c>
      <c r="N646" t="s">
        <v>2558</v>
      </c>
      <c r="O646" t="s">
        <v>39</v>
      </c>
      <c r="P646" t="s">
        <v>40</v>
      </c>
      <c r="Q646" t="s">
        <v>2559</v>
      </c>
      <c r="R646">
        <v>15</v>
      </c>
    </row>
    <row r="647" spans="1:18" x14ac:dyDescent="0.3">
      <c r="A647" t="s">
        <v>2893</v>
      </c>
      <c r="B647" s="1">
        <v>43201</v>
      </c>
      <c r="C647" s="1">
        <v>43208</v>
      </c>
      <c r="D647" s="1">
        <v>43191</v>
      </c>
      <c r="E647" t="s">
        <v>43</v>
      </c>
      <c r="F647" t="s">
        <v>2894</v>
      </c>
      <c r="G647" t="s">
        <v>2895</v>
      </c>
      <c r="H647" t="s">
        <v>22</v>
      </c>
      <c r="I647" t="s">
        <v>23</v>
      </c>
      <c r="J647" t="s">
        <v>443</v>
      </c>
      <c r="K647" t="s">
        <v>36</v>
      </c>
      <c r="L647">
        <v>91104</v>
      </c>
      <c r="M647" t="s">
        <v>37</v>
      </c>
      <c r="N647" t="s">
        <v>2896</v>
      </c>
      <c r="O647" t="s">
        <v>147</v>
      </c>
      <c r="P647" t="s">
        <v>180</v>
      </c>
      <c r="Q647" t="s">
        <v>2897</v>
      </c>
      <c r="R647">
        <v>19995</v>
      </c>
    </row>
    <row r="648" spans="1:18" x14ac:dyDescent="0.3">
      <c r="A648" t="s">
        <v>2898</v>
      </c>
      <c r="B648" s="1">
        <v>43315</v>
      </c>
      <c r="C648" s="1">
        <v>43316</v>
      </c>
      <c r="D648" s="1">
        <v>43313</v>
      </c>
      <c r="E648" t="s">
        <v>142</v>
      </c>
      <c r="F648" t="s">
        <v>2499</v>
      </c>
      <c r="G648" t="s">
        <v>2500</v>
      </c>
      <c r="H648" t="s">
        <v>22</v>
      </c>
      <c r="I648" t="s">
        <v>23</v>
      </c>
      <c r="J648" t="s">
        <v>225</v>
      </c>
      <c r="K648" t="s">
        <v>160</v>
      </c>
      <c r="L648">
        <v>60623</v>
      </c>
      <c r="M648" t="s">
        <v>79</v>
      </c>
      <c r="N648" t="s">
        <v>2899</v>
      </c>
      <c r="O648" t="s">
        <v>28</v>
      </c>
      <c r="P648" t="s">
        <v>29</v>
      </c>
      <c r="Q648" t="s">
        <v>2900</v>
      </c>
      <c r="R648">
        <v>183372</v>
      </c>
    </row>
    <row r="649" spans="1:18" x14ac:dyDescent="0.3">
      <c r="A649" t="s">
        <v>2901</v>
      </c>
      <c r="B649" s="1">
        <v>42323</v>
      </c>
      <c r="C649" s="1">
        <v>42329</v>
      </c>
      <c r="D649" s="1">
        <v>42309</v>
      </c>
      <c r="E649" t="s">
        <v>43</v>
      </c>
      <c r="F649" t="s">
        <v>2228</v>
      </c>
      <c r="G649" t="s">
        <v>2229</v>
      </c>
      <c r="H649" t="s">
        <v>22</v>
      </c>
      <c r="I649" t="s">
        <v>23</v>
      </c>
      <c r="J649" t="s">
        <v>2902</v>
      </c>
      <c r="K649" t="s">
        <v>255</v>
      </c>
      <c r="L649">
        <v>37604</v>
      </c>
      <c r="M649" t="s">
        <v>26</v>
      </c>
      <c r="N649" t="s">
        <v>2487</v>
      </c>
      <c r="O649" t="s">
        <v>39</v>
      </c>
      <c r="P649" t="s">
        <v>103</v>
      </c>
      <c r="Q649" t="s">
        <v>2488</v>
      </c>
      <c r="R649">
        <v>4224</v>
      </c>
    </row>
    <row r="650" spans="1:18" x14ac:dyDescent="0.3">
      <c r="A650" t="s">
        <v>2903</v>
      </c>
      <c r="B650" s="1">
        <v>43332</v>
      </c>
      <c r="C650" s="1">
        <v>43334</v>
      </c>
      <c r="D650" s="1">
        <v>43313</v>
      </c>
      <c r="E650" t="s">
        <v>19</v>
      </c>
      <c r="F650" t="s">
        <v>2904</v>
      </c>
      <c r="G650" t="s">
        <v>2905</v>
      </c>
      <c r="H650" t="s">
        <v>22</v>
      </c>
      <c r="I650" t="s">
        <v>23</v>
      </c>
      <c r="J650" t="s">
        <v>2120</v>
      </c>
      <c r="K650" t="s">
        <v>36</v>
      </c>
      <c r="L650">
        <v>93727</v>
      </c>
      <c r="M650" t="s">
        <v>37</v>
      </c>
      <c r="N650" t="s">
        <v>2311</v>
      </c>
      <c r="O650" t="s">
        <v>39</v>
      </c>
      <c r="P650" t="s">
        <v>71</v>
      </c>
      <c r="Q650" t="s">
        <v>2312</v>
      </c>
      <c r="R650">
        <v>23912</v>
      </c>
    </row>
    <row r="651" spans="1:18" x14ac:dyDescent="0.3">
      <c r="A651" t="s">
        <v>2906</v>
      </c>
      <c r="B651" s="1">
        <v>42442</v>
      </c>
      <c r="C651" s="1">
        <v>42444</v>
      </c>
      <c r="D651" s="1">
        <v>42430</v>
      </c>
      <c r="E651" t="s">
        <v>142</v>
      </c>
      <c r="F651" t="s">
        <v>2907</v>
      </c>
      <c r="G651" t="s">
        <v>2908</v>
      </c>
      <c r="H651" t="s">
        <v>22</v>
      </c>
      <c r="I651" t="s">
        <v>23</v>
      </c>
      <c r="J651" t="s">
        <v>68</v>
      </c>
      <c r="K651" t="s">
        <v>69</v>
      </c>
      <c r="L651">
        <v>98103</v>
      </c>
      <c r="M651" t="s">
        <v>37</v>
      </c>
      <c r="N651" t="s">
        <v>2909</v>
      </c>
      <c r="O651" t="s">
        <v>28</v>
      </c>
      <c r="P651" t="s">
        <v>29</v>
      </c>
      <c r="Q651" t="s">
        <v>2910</v>
      </c>
      <c r="R651">
        <v>14196</v>
      </c>
    </row>
    <row r="652" spans="1:18" x14ac:dyDescent="0.3">
      <c r="A652" t="s">
        <v>2911</v>
      </c>
      <c r="B652" s="1">
        <v>42700</v>
      </c>
      <c r="C652" s="1">
        <v>42704</v>
      </c>
      <c r="D652" s="1">
        <v>42675</v>
      </c>
      <c r="E652" t="s">
        <v>43</v>
      </c>
      <c r="F652" t="s">
        <v>1684</v>
      </c>
      <c r="G652" t="s">
        <v>1685</v>
      </c>
      <c r="H652" t="s">
        <v>34</v>
      </c>
      <c r="I652" t="s">
        <v>23</v>
      </c>
      <c r="J652" t="s">
        <v>2912</v>
      </c>
      <c r="K652" t="s">
        <v>829</v>
      </c>
      <c r="L652">
        <v>1453</v>
      </c>
      <c r="M652" t="s">
        <v>117</v>
      </c>
      <c r="N652" t="s">
        <v>573</v>
      </c>
      <c r="O652" t="s">
        <v>39</v>
      </c>
      <c r="P652" t="s">
        <v>71</v>
      </c>
      <c r="Q652" t="s">
        <v>574</v>
      </c>
      <c r="R652">
        <v>1473</v>
      </c>
    </row>
    <row r="653" spans="1:18" x14ac:dyDescent="0.3">
      <c r="A653" t="s">
        <v>2913</v>
      </c>
      <c r="B653" s="1">
        <v>42392</v>
      </c>
      <c r="C653" s="1">
        <v>42396</v>
      </c>
      <c r="D653" s="1">
        <v>42370</v>
      </c>
      <c r="E653" t="s">
        <v>43</v>
      </c>
      <c r="F653" t="s">
        <v>2914</v>
      </c>
      <c r="G653" t="s">
        <v>2915</v>
      </c>
      <c r="H653" t="s">
        <v>76</v>
      </c>
      <c r="I653" t="s">
        <v>23</v>
      </c>
      <c r="J653" t="s">
        <v>2916</v>
      </c>
      <c r="K653" t="s">
        <v>1141</v>
      </c>
      <c r="L653">
        <v>59715</v>
      </c>
      <c r="M653" t="s">
        <v>37</v>
      </c>
      <c r="N653" t="s">
        <v>2917</v>
      </c>
      <c r="O653" t="s">
        <v>39</v>
      </c>
      <c r="P653" t="s">
        <v>63</v>
      </c>
      <c r="Q653" t="s">
        <v>2918</v>
      </c>
      <c r="R653">
        <v>2904</v>
      </c>
    </row>
    <row r="654" spans="1:18" x14ac:dyDescent="0.3">
      <c r="A654" t="s">
        <v>2919</v>
      </c>
      <c r="B654" s="1">
        <v>42539</v>
      </c>
      <c r="C654" s="1">
        <v>42544</v>
      </c>
      <c r="D654" s="1">
        <v>42522</v>
      </c>
      <c r="E654" t="s">
        <v>43</v>
      </c>
      <c r="F654" t="s">
        <v>2920</v>
      </c>
      <c r="G654" t="s">
        <v>2921</v>
      </c>
      <c r="H654" t="s">
        <v>76</v>
      </c>
      <c r="I654" t="s">
        <v>23</v>
      </c>
      <c r="J654" t="s">
        <v>927</v>
      </c>
      <c r="K654" t="s">
        <v>232</v>
      </c>
      <c r="L654">
        <v>85345</v>
      </c>
      <c r="M654" t="s">
        <v>37</v>
      </c>
      <c r="N654" t="s">
        <v>2922</v>
      </c>
      <c r="O654" t="s">
        <v>39</v>
      </c>
      <c r="P654" t="s">
        <v>63</v>
      </c>
      <c r="Q654" t="s">
        <v>2923</v>
      </c>
      <c r="R654">
        <v>11952</v>
      </c>
    </row>
    <row r="655" spans="1:18" x14ac:dyDescent="0.3">
      <c r="A655" t="s">
        <v>2924</v>
      </c>
      <c r="B655" s="1">
        <v>42645</v>
      </c>
      <c r="C655" s="1">
        <v>42651</v>
      </c>
      <c r="D655" s="1">
        <v>42644</v>
      </c>
      <c r="E655" t="s">
        <v>43</v>
      </c>
      <c r="F655" t="s">
        <v>1030</v>
      </c>
      <c r="G655" t="s">
        <v>1031</v>
      </c>
      <c r="H655" t="s">
        <v>34</v>
      </c>
      <c r="I655" t="s">
        <v>23</v>
      </c>
      <c r="J655" t="s">
        <v>663</v>
      </c>
      <c r="K655" t="s">
        <v>36</v>
      </c>
      <c r="L655">
        <v>92105</v>
      </c>
      <c r="M655" t="s">
        <v>37</v>
      </c>
      <c r="N655" t="s">
        <v>2925</v>
      </c>
      <c r="O655" t="s">
        <v>39</v>
      </c>
      <c r="P655" t="s">
        <v>71</v>
      </c>
      <c r="Q655" t="s">
        <v>2926</v>
      </c>
      <c r="R655">
        <v>57504</v>
      </c>
    </row>
    <row r="656" spans="1:18" x14ac:dyDescent="0.3">
      <c r="A656" t="s">
        <v>2927</v>
      </c>
      <c r="B656" s="1">
        <v>42233</v>
      </c>
      <c r="C656" s="1">
        <v>42239</v>
      </c>
      <c r="D656" s="1">
        <v>42217</v>
      </c>
      <c r="E656" t="s">
        <v>43</v>
      </c>
      <c r="F656" t="s">
        <v>106</v>
      </c>
      <c r="G656" t="s">
        <v>107</v>
      </c>
      <c r="H656" t="s">
        <v>34</v>
      </c>
      <c r="I656" t="s">
        <v>23</v>
      </c>
      <c r="J656" t="s">
        <v>138</v>
      </c>
      <c r="K656" t="s">
        <v>78</v>
      </c>
      <c r="L656">
        <v>77095</v>
      </c>
      <c r="M656" t="s">
        <v>79</v>
      </c>
      <c r="N656" t="s">
        <v>2928</v>
      </c>
      <c r="O656" t="s">
        <v>39</v>
      </c>
      <c r="P656" t="s">
        <v>63</v>
      </c>
      <c r="Q656" t="s">
        <v>2929</v>
      </c>
      <c r="R656">
        <v>15552</v>
      </c>
    </row>
    <row r="657" spans="1:18" x14ac:dyDescent="0.3">
      <c r="A657" t="s">
        <v>2930</v>
      </c>
      <c r="B657" s="1">
        <v>42562</v>
      </c>
      <c r="C657" s="1">
        <v>42564</v>
      </c>
      <c r="D657" s="1">
        <v>42552</v>
      </c>
      <c r="E657" t="s">
        <v>142</v>
      </c>
      <c r="F657" t="s">
        <v>1303</v>
      </c>
      <c r="G657" t="s">
        <v>1304</v>
      </c>
      <c r="H657" t="s">
        <v>22</v>
      </c>
      <c r="I657" t="s">
        <v>23</v>
      </c>
      <c r="J657" t="s">
        <v>115</v>
      </c>
      <c r="K657" t="s">
        <v>116</v>
      </c>
      <c r="L657">
        <v>19134</v>
      </c>
      <c r="M657" t="s">
        <v>117</v>
      </c>
      <c r="N657" t="s">
        <v>426</v>
      </c>
      <c r="O657" t="s">
        <v>28</v>
      </c>
      <c r="P657" t="s">
        <v>55</v>
      </c>
      <c r="Q657" t="s">
        <v>427</v>
      </c>
      <c r="R657">
        <v>2898</v>
      </c>
    </row>
    <row r="658" spans="1:18" x14ac:dyDescent="0.3">
      <c r="A658" t="s">
        <v>2931</v>
      </c>
      <c r="B658" s="1">
        <v>42308</v>
      </c>
      <c r="C658" s="1">
        <v>42312</v>
      </c>
      <c r="D658" s="1">
        <v>42278</v>
      </c>
      <c r="E658" t="s">
        <v>43</v>
      </c>
      <c r="F658" t="s">
        <v>386</v>
      </c>
      <c r="G658" t="s">
        <v>387</v>
      </c>
      <c r="H658" t="s">
        <v>34</v>
      </c>
      <c r="I658" t="s">
        <v>23</v>
      </c>
      <c r="J658" t="s">
        <v>35</v>
      </c>
      <c r="K658" t="s">
        <v>36</v>
      </c>
      <c r="L658">
        <v>90049</v>
      </c>
      <c r="M658" t="s">
        <v>37</v>
      </c>
      <c r="N658" t="s">
        <v>2932</v>
      </c>
      <c r="O658" t="s">
        <v>39</v>
      </c>
      <c r="P658" t="s">
        <v>209</v>
      </c>
      <c r="Q658" t="s">
        <v>1159</v>
      </c>
      <c r="R658">
        <v>1134</v>
      </c>
    </row>
    <row r="659" spans="1:18" x14ac:dyDescent="0.3">
      <c r="A659" t="s">
        <v>2933</v>
      </c>
      <c r="B659" s="1">
        <v>42473</v>
      </c>
      <c r="C659" s="1">
        <v>42479</v>
      </c>
      <c r="D659" s="1">
        <v>42461</v>
      </c>
      <c r="E659" t="s">
        <v>43</v>
      </c>
      <c r="F659" t="s">
        <v>1273</v>
      </c>
      <c r="G659" t="s">
        <v>1274</v>
      </c>
      <c r="H659" t="s">
        <v>22</v>
      </c>
      <c r="I659" t="s">
        <v>23</v>
      </c>
      <c r="J659" t="s">
        <v>2934</v>
      </c>
      <c r="K659" t="s">
        <v>36</v>
      </c>
      <c r="L659">
        <v>91767</v>
      </c>
      <c r="M659" t="s">
        <v>37</v>
      </c>
      <c r="N659" t="s">
        <v>2935</v>
      </c>
      <c r="O659" t="s">
        <v>147</v>
      </c>
      <c r="P659" t="s">
        <v>180</v>
      </c>
      <c r="Q659" t="s">
        <v>2936</v>
      </c>
      <c r="R659">
        <v>19996</v>
      </c>
    </row>
    <row r="660" spans="1:18" x14ac:dyDescent="0.3">
      <c r="A660" t="s">
        <v>2937</v>
      </c>
      <c r="B660" s="1">
        <v>42937</v>
      </c>
      <c r="C660" s="1">
        <v>42939</v>
      </c>
      <c r="D660" s="1">
        <v>42917</v>
      </c>
      <c r="E660" t="s">
        <v>19</v>
      </c>
      <c r="F660" t="s">
        <v>2938</v>
      </c>
      <c r="G660" t="s">
        <v>2939</v>
      </c>
      <c r="H660" t="s">
        <v>34</v>
      </c>
      <c r="I660" t="s">
        <v>23</v>
      </c>
      <c r="J660" t="s">
        <v>115</v>
      </c>
      <c r="K660" t="s">
        <v>116</v>
      </c>
      <c r="L660">
        <v>19134</v>
      </c>
      <c r="M660" t="s">
        <v>117</v>
      </c>
      <c r="N660" t="s">
        <v>2075</v>
      </c>
      <c r="O660" t="s">
        <v>39</v>
      </c>
      <c r="P660" t="s">
        <v>71</v>
      </c>
      <c r="Q660" t="s">
        <v>2076</v>
      </c>
      <c r="R660">
        <v>1941</v>
      </c>
    </row>
    <row r="661" spans="1:18" x14ac:dyDescent="0.3">
      <c r="A661" t="s">
        <v>2940</v>
      </c>
      <c r="B661" s="1">
        <v>43411</v>
      </c>
      <c r="C661" s="1">
        <v>43416</v>
      </c>
      <c r="D661" s="1">
        <v>43405</v>
      </c>
      <c r="E661" t="s">
        <v>19</v>
      </c>
      <c r="F661" t="s">
        <v>2466</v>
      </c>
      <c r="G661" t="s">
        <v>2467</v>
      </c>
      <c r="H661" t="s">
        <v>76</v>
      </c>
      <c r="I661" t="s">
        <v>23</v>
      </c>
      <c r="J661" t="s">
        <v>690</v>
      </c>
      <c r="K661" t="s">
        <v>36</v>
      </c>
      <c r="L661">
        <v>94513</v>
      </c>
      <c r="M661" t="s">
        <v>37</v>
      </c>
      <c r="N661" t="s">
        <v>2941</v>
      </c>
      <c r="O661" t="s">
        <v>147</v>
      </c>
      <c r="P661" t="s">
        <v>180</v>
      </c>
      <c r="Q661" t="s">
        <v>2942</v>
      </c>
      <c r="R661">
        <v>5997</v>
      </c>
    </row>
    <row r="662" spans="1:18" x14ac:dyDescent="0.3">
      <c r="A662" t="s">
        <v>2943</v>
      </c>
      <c r="B662" s="1">
        <v>43154</v>
      </c>
      <c r="C662" s="1">
        <v>43160</v>
      </c>
      <c r="D662" s="1">
        <v>43132</v>
      </c>
      <c r="E662" t="s">
        <v>43</v>
      </c>
      <c r="F662" t="s">
        <v>1303</v>
      </c>
      <c r="G662" t="s">
        <v>1304</v>
      </c>
      <c r="H662" t="s">
        <v>22</v>
      </c>
      <c r="I662" t="s">
        <v>23</v>
      </c>
      <c r="J662" t="s">
        <v>35</v>
      </c>
      <c r="K662" t="s">
        <v>36</v>
      </c>
      <c r="L662">
        <v>90008</v>
      </c>
      <c r="M662" t="s">
        <v>37</v>
      </c>
      <c r="N662" t="s">
        <v>2944</v>
      </c>
      <c r="O662" t="s">
        <v>39</v>
      </c>
      <c r="P662" t="s">
        <v>63</v>
      </c>
      <c r="Q662" t="s">
        <v>2945</v>
      </c>
      <c r="R662">
        <v>3744</v>
      </c>
    </row>
    <row r="663" spans="1:18" x14ac:dyDescent="0.3">
      <c r="A663" t="s">
        <v>2946</v>
      </c>
      <c r="B663" s="1">
        <v>42909</v>
      </c>
      <c r="C663" s="1">
        <v>42914</v>
      </c>
      <c r="D663" s="1">
        <v>42887</v>
      </c>
      <c r="E663" t="s">
        <v>43</v>
      </c>
      <c r="F663" t="s">
        <v>66</v>
      </c>
      <c r="G663" t="s">
        <v>67</v>
      </c>
      <c r="H663" t="s">
        <v>22</v>
      </c>
      <c r="I663" t="s">
        <v>23</v>
      </c>
      <c r="J663" t="s">
        <v>206</v>
      </c>
      <c r="K663" t="s">
        <v>207</v>
      </c>
      <c r="L663">
        <v>10009</v>
      </c>
      <c r="M663" t="s">
        <v>117</v>
      </c>
      <c r="N663" t="s">
        <v>2947</v>
      </c>
      <c r="O663" t="s">
        <v>39</v>
      </c>
      <c r="P663" t="s">
        <v>40</v>
      </c>
      <c r="Q663" t="s">
        <v>2948</v>
      </c>
      <c r="R663">
        <v>12212</v>
      </c>
    </row>
    <row r="664" spans="1:18" x14ac:dyDescent="0.3">
      <c r="A664" t="s">
        <v>2949</v>
      </c>
      <c r="B664" s="1">
        <v>42669</v>
      </c>
      <c r="C664" s="1">
        <v>42673</v>
      </c>
      <c r="D664" s="1">
        <v>42644</v>
      </c>
      <c r="E664" t="s">
        <v>43</v>
      </c>
      <c r="F664" t="s">
        <v>1116</v>
      </c>
      <c r="G664" t="s">
        <v>1117</v>
      </c>
      <c r="H664" t="s">
        <v>34</v>
      </c>
      <c r="I664" t="s">
        <v>23</v>
      </c>
      <c r="J664" t="s">
        <v>2950</v>
      </c>
      <c r="K664" t="s">
        <v>36</v>
      </c>
      <c r="L664">
        <v>91730</v>
      </c>
      <c r="M664" t="s">
        <v>37</v>
      </c>
      <c r="N664" t="s">
        <v>2951</v>
      </c>
      <c r="O664" t="s">
        <v>39</v>
      </c>
      <c r="P664" t="s">
        <v>40</v>
      </c>
      <c r="Q664" t="s">
        <v>2952</v>
      </c>
      <c r="R664">
        <v>576</v>
      </c>
    </row>
    <row r="665" spans="1:18" x14ac:dyDescent="0.3">
      <c r="A665" t="s">
        <v>2953</v>
      </c>
      <c r="B665" s="1">
        <v>43296</v>
      </c>
      <c r="C665" s="1">
        <v>43300</v>
      </c>
      <c r="D665" s="1">
        <v>43282</v>
      </c>
      <c r="E665" t="s">
        <v>43</v>
      </c>
      <c r="F665" t="s">
        <v>2954</v>
      </c>
      <c r="G665" t="s">
        <v>2955</v>
      </c>
      <c r="H665" t="s">
        <v>22</v>
      </c>
      <c r="I665" t="s">
        <v>23</v>
      </c>
      <c r="J665" t="s">
        <v>956</v>
      </c>
      <c r="K665" t="s">
        <v>193</v>
      </c>
      <c r="L665">
        <v>19805</v>
      </c>
      <c r="M665" t="s">
        <v>117</v>
      </c>
      <c r="N665" t="s">
        <v>2956</v>
      </c>
      <c r="O665" t="s">
        <v>39</v>
      </c>
      <c r="P665" t="s">
        <v>71</v>
      </c>
      <c r="Q665" t="s">
        <v>2957</v>
      </c>
      <c r="R665">
        <v>2655</v>
      </c>
    </row>
    <row r="666" spans="1:18" x14ac:dyDescent="0.3">
      <c r="A666" t="s">
        <v>2958</v>
      </c>
      <c r="B666" s="1">
        <v>42325</v>
      </c>
      <c r="C666" s="1">
        <v>42329</v>
      </c>
      <c r="D666" s="1">
        <v>42309</v>
      </c>
      <c r="E666" t="s">
        <v>43</v>
      </c>
      <c r="F666" t="s">
        <v>554</v>
      </c>
      <c r="G666" t="s">
        <v>555</v>
      </c>
      <c r="H666" t="s">
        <v>76</v>
      </c>
      <c r="I666" t="s">
        <v>23</v>
      </c>
      <c r="J666" t="s">
        <v>2959</v>
      </c>
      <c r="K666" t="s">
        <v>178</v>
      </c>
      <c r="L666">
        <v>56560</v>
      </c>
      <c r="M666" t="s">
        <v>79</v>
      </c>
      <c r="N666" t="s">
        <v>2960</v>
      </c>
      <c r="O666" t="s">
        <v>28</v>
      </c>
      <c r="P666" t="s">
        <v>119</v>
      </c>
      <c r="Q666" t="s">
        <v>2961</v>
      </c>
      <c r="R666">
        <v>4799</v>
      </c>
    </row>
    <row r="667" spans="1:18" x14ac:dyDescent="0.3">
      <c r="A667" t="s">
        <v>2962</v>
      </c>
      <c r="B667" s="1">
        <v>42699</v>
      </c>
      <c r="C667" s="1">
        <v>42703</v>
      </c>
      <c r="D667" s="1">
        <v>42675</v>
      </c>
      <c r="E667" t="s">
        <v>43</v>
      </c>
      <c r="F667" t="s">
        <v>113</v>
      </c>
      <c r="G667" t="s">
        <v>114</v>
      </c>
      <c r="H667" t="s">
        <v>22</v>
      </c>
      <c r="I667" t="s">
        <v>23</v>
      </c>
      <c r="J667" t="s">
        <v>956</v>
      </c>
      <c r="K667" t="s">
        <v>61</v>
      </c>
      <c r="L667">
        <v>28403</v>
      </c>
      <c r="M667" t="s">
        <v>26</v>
      </c>
      <c r="N667" t="s">
        <v>2963</v>
      </c>
      <c r="O667" t="s">
        <v>39</v>
      </c>
      <c r="P667" t="s">
        <v>103</v>
      </c>
      <c r="Q667" t="s">
        <v>2964</v>
      </c>
      <c r="R667">
        <v>1312</v>
      </c>
    </row>
    <row r="668" spans="1:18" x14ac:dyDescent="0.3">
      <c r="A668" t="s">
        <v>2965</v>
      </c>
      <c r="B668" s="1">
        <v>42870</v>
      </c>
      <c r="C668" s="1">
        <v>42875</v>
      </c>
      <c r="D668" s="1">
        <v>42856</v>
      </c>
      <c r="E668" t="s">
        <v>43</v>
      </c>
      <c r="F668" t="s">
        <v>151</v>
      </c>
      <c r="G668" t="s">
        <v>152</v>
      </c>
      <c r="H668" t="s">
        <v>76</v>
      </c>
      <c r="I668" t="s">
        <v>23</v>
      </c>
      <c r="J668" t="s">
        <v>248</v>
      </c>
      <c r="K668" t="s">
        <v>984</v>
      </c>
      <c r="L668">
        <v>39212</v>
      </c>
      <c r="M668" t="s">
        <v>26</v>
      </c>
      <c r="N668" t="s">
        <v>2966</v>
      </c>
      <c r="O668" t="s">
        <v>39</v>
      </c>
      <c r="P668" t="s">
        <v>71</v>
      </c>
      <c r="Q668" t="s">
        <v>2967</v>
      </c>
      <c r="R668">
        <v>51184</v>
      </c>
    </row>
    <row r="669" spans="1:18" x14ac:dyDescent="0.3">
      <c r="A669" t="s">
        <v>2968</v>
      </c>
      <c r="B669" s="1">
        <v>42203</v>
      </c>
      <c r="C669" s="1">
        <v>42203</v>
      </c>
      <c r="D669" s="1">
        <v>42186</v>
      </c>
      <c r="E669" t="s">
        <v>857</v>
      </c>
      <c r="F669" t="s">
        <v>2969</v>
      </c>
      <c r="G669" t="s">
        <v>2970</v>
      </c>
      <c r="H669" t="s">
        <v>76</v>
      </c>
      <c r="I669" t="s">
        <v>23</v>
      </c>
      <c r="J669" t="s">
        <v>872</v>
      </c>
      <c r="K669" t="s">
        <v>232</v>
      </c>
      <c r="L669">
        <v>85705</v>
      </c>
      <c r="M669" t="s">
        <v>37</v>
      </c>
      <c r="N669" t="s">
        <v>2971</v>
      </c>
      <c r="O669" t="s">
        <v>28</v>
      </c>
      <c r="P669" t="s">
        <v>119</v>
      </c>
      <c r="Q669" t="s">
        <v>2972</v>
      </c>
      <c r="R669">
        <v>259136</v>
      </c>
    </row>
    <row r="670" spans="1:18" x14ac:dyDescent="0.3">
      <c r="A670" t="s">
        <v>2973</v>
      </c>
      <c r="B670" s="1">
        <v>43183</v>
      </c>
      <c r="C670" s="1">
        <v>43187</v>
      </c>
      <c r="D670" s="1">
        <v>43160</v>
      </c>
      <c r="E670" t="s">
        <v>19</v>
      </c>
      <c r="F670" t="s">
        <v>1643</v>
      </c>
      <c r="G670" t="s">
        <v>1644</v>
      </c>
      <c r="H670" t="s">
        <v>34</v>
      </c>
      <c r="I670" t="s">
        <v>23</v>
      </c>
      <c r="J670" t="s">
        <v>206</v>
      </c>
      <c r="K670" t="s">
        <v>207</v>
      </c>
      <c r="L670">
        <v>10009</v>
      </c>
      <c r="M670" t="s">
        <v>117</v>
      </c>
      <c r="N670" t="s">
        <v>2512</v>
      </c>
      <c r="O670" t="s">
        <v>39</v>
      </c>
      <c r="P670" t="s">
        <v>63</v>
      </c>
      <c r="Q670" t="s">
        <v>2974</v>
      </c>
      <c r="R670">
        <v>22192</v>
      </c>
    </row>
    <row r="671" spans="1:18" x14ac:dyDescent="0.3">
      <c r="A671" t="s">
        <v>2975</v>
      </c>
      <c r="B671" s="1">
        <v>43203</v>
      </c>
      <c r="C671" s="1">
        <v>43205</v>
      </c>
      <c r="D671" s="1">
        <v>43191</v>
      </c>
      <c r="E671" t="s">
        <v>142</v>
      </c>
      <c r="F671" t="s">
        <v>1784</v>
      </c>
      <c r="G671" t="s">
        <v>1785</v>
      </c>
      <c r="H671" t="s">
        <v>34</v>
      </c>
      <c r="I671" t="s">
        <v>23</v>
      </c>
      <c r="J671" t="s">
        <v>68</v>
      </c>
      <c r="K671" t="s">
        <v>69</v>
      </c>
      <c r="L671">
        <v>98105</v>
      </c>
      <c r="M671" t="s">
        <v>37</v>
      </c>
      <c r="N671" t="s">
        <v>649</v>
      </c>
      <c r="O671" t="s">
        <v>39</v>
      </c>
      <c r="P671" t="s">
        <v>63</v>
      </c>
      <c r="Q671" t="s">
        <v>650</v>
      </c>
      <c r="R671">
        <v>528</v>
      </c>
    </row>
    <row r="672" spans="1:18" x14ac:dyDescent="0.3">
      <c r="A672" t="s">
        <v>2976</v>
      </c>
      <c r="B672" s="1">
        <v>42178</v>
      </c>
      <c r="C672" s="1">
        <v>42183</v>
      </c>
      <c r="D672" s="1">
        <v>42156</v>
      </c>
      <c r="E672" t="s">
        <v>43</v>
      </c>
      <c r="F672" t="s">
        <v>2977</v>
      </c>
      <c r="G672" t="s">
        <v>2978</v>
      </c>
      <c r="H672" t="s">
        <v>22</v>
      </c>
      <c r="I672" t="s">
        <v>23</v>
      </c>
      <c r="J672" t="s">
        <v>115</v>
      </c>
      <c r="K672" t="s">
        <v>116</v>
      </c>
      <c r="L672">
        <v>19143</v>
      </c>
      <c r="M672" t="s">
        <v>117</v>
      </c>
      <c r="N672" t="s">
        <v>967</v>
      </c>
      <c r="O672" t="s">
        <v>147</v>
      </c>
      <c r="P672" t="s">
        <v>180</v>
      </c>
      <c r="Q672" t="s">
        <v>968</v>
      </c>
      <c r="R672">
        <v>86376</v>
      </c>
    </row>
    <row r="673" spans="1:18" x14ac:dyDescent="0.3">
      <c r="A673" t="s">
        <v>2979</v>
      </c>
      <c r="B673" s="1">
        <v>42144</v>
      </c>
      <c r="C673" s="1">
        <v>42146</v>
      </c>
      <c r="D673" s="1">
        <v>42125</v>
      </c>
      <c r="E673" t="s">
        <v>19</v>
      </c>
      <c r="F673" t="s">
        <v>2980</v>
      </c>
      <c r="G673" t="s">
        <v>2981</v>
      </c>
      <c r="H673" t="s">
        <v>34</v>
      </c>
      <c r="I673" t="s">
        <v>23</v>
      </c>
      <c r="J673" t="s">
        <v>192</v>
      </c>
      <c r="K673" t="s">
        <v>1694</v>
      </c>
      <c r="L673">
        <v>3820</v>
      </c>
      <c r="M673" t="s">
        <v>117</v>
      </c>
      <c r="N673" t="s">
        <v>2982</v>
      </c>
      <c r="O673" t="s">
        <v>39</v>
      </c>
      <c r="P673" t="s">
        <v>81</v>
      </c>
      <c r="Q673" t="s">
        <v>2983</v>
      </c>
      <c r="R673">
        <v>3328</v>
      </c>
    </row>
    <row r="674" spans="1:18" x14ac:dyDescent="0.3">
      <c r="A674" t="s">
        <v>2984</v>
      </c>
      <c r="B674" s="1">
        <v>42704</v>
      </c>
      <c r="C674" s="1">
        <v>42708</v>
      </c>
      <c r="D674" s="1">
        <v>42675</v>
      </c>
      <c r="E674" t="s">
        <v>43</v>
      </c>
      <c r="F674" t="s">
        <v>2985</v>
      </c>
      <c r="G674" t="s">
        <v>2986</v>
      </c>
      <c r="H674" t="s">
        <v>22</v>
      </c>
      <c r="I674" t="s">
        <v>23</v>
      </c>
      <c r="J674" t="s">
        <v>115</v>
      </c>
      <c r="K674" t="s">
        <v>116</v>
      </c>
      <c r="L674">
        <v>19134</v>
      </c>
      <c r="M674" t="s">
        <v>117</v>
      </c>
      <c r="N674" t="s">
        <v>70</v>
      </c>
      <c r="O674" t="s">
        <v>39</v>
      </c>
      <c r="P674" t="s">
        <v>71</v>
      </c>
      <c r="Q674" t="s">
        <v>72</v>
      </c>
      <c r="R674">
        <v>152991</v>
      </c>
    </row>
    <row r="675" spans="1:18" x14ac:dyDescent="0.3">
      <c r="A675" t="s">
        <v>2987</v>
      </c>
      <c r="B675" s="1">
        <v>43420</v>
      </c>
      <c r="C675" s="1">
        <v>43420</v>
      </c>
      <c r="D675" s="1">
        <v>43405</v>
      </c>
      <c r="E675" t="s">
        <v>857</v>
      </c>
      <c r="F675" t="s">
        <v>2884</v>
      </c>
      <c r="G675" t="s">
        <v>2885</v>
      </c>
      <c r="H675" t="s">
        <v>22</v>
      </c>
      <c r="I675" t="s">
        <v>23</v>
      </c>
      <c r="J675" t="s">
        <v>206</v>
      </c>
      <c r="K675" t="s">
        <v>207</v>
      </c>
      <c r="L675">
        <v>10009</v>
      </c>
      <c r="M675" t="s">
        <v>117</v>
      </c>
      <c r="N675" t="s">
        <v>1459</v>
      </c>
      <c r="O675" t="s">
        <v>39</v>
      </c>
      <c r="P675" t="s">
        <v>63</v>
      </c>
      <c r="Q675" t="s">
        <v>1460</v>
      </c>
      <c r="R675">
        <v>14682</v>
      </c>
    </row>
    <row r="676" spans="1:18" x14ac:dyDescent="0.3">
      <c r="A676" t="s">
        <v>2988</v>
      </c>
      <c r="B676" s="1">
        <v>42911</v>
      </c>
      <c r="C676" s="1">
        <v>42915</v>
      </c>
      <c r="D676" s="1">
        <v>42887</v>
      </c>
      <c r="E676" t="s">
        <v>43</v>
      </c>
      <c r="F676" t="s">
        <v>1957</v>
      </c>
      <c r="G676" t="s">
        <v>1958</v>
      </c>
      <c r="H676" t="s">
        <v>34</v>
      </c>
      <c r="I676" t="s">
        <v>23</v>
      </c>
      <c r="J676" t="s">
        <v>2989</v>
      </c>
      <c r="K676" t="s">
        <v>116</v>
      </c>
      <c r="L676">
        <v>17403</v>
      </c>
      <c r="M676" t="s">
        <v>117</v>
      </c>
      <c r="N676" t="s">
        <v>658</v>
      </c>
      <c r="O676" t="s">
        <v>28</v>
      </c>
      <c r="P676" t="s">
        <v>119</v>
      </c>
      <c r="Q676" t="s">
        <v>659</v>
      </c>
      <c r="R676">
        <v>422058</v>
      </c>
    </row>
    <row r="677" spans="1:18" x14ac:dyDescent="0.3">
      <c r="A677" t="s">
        <v>2990</v>
      </c>
      <c r="B677" s="1">
        <v>42869</v>
      </c>
      <c r="C677" s="1">
        <v>42869</v>
      </c>
      <c r="D677" s="1">
        <v>42856</v>
      </c>
      <c r="E677" t="s">
        <v>857</v>
      </c>
      <c r="F677" t="s">
        <v>656</v>
      </c>
      <c r="G677" t="s">
        <v>657</v>
      </c>
      <c r="H677" t="s">
        <v>22</v>
      </c>
      <c r="I677" t="s">
        <v>23</v>
      </c>
      <c r="J677" t="s">
        <v>910</v>
      </c>
      <c r="K677" t="s">
        <v>377</v>
      </c>
      <c r="L677">
        <v>45231</v>
      </c>
      <c r="M677" t="s">
        <v>117</v>
      </c>
      <c r="N677" t="s">
        <v>2991</v>
      </c>
      <c r="O677" t="s">
        <v>28</v>
      </c>
      <c r="P677" t="s">
        <v>55</v>
      </c>
      <c r="Q677" t="s">
        <v>2992</v>
      </c>
      <c r="R677">
        <v>79384</v>
      </c>
    </row>
    <row r="678" spans="1:18" x14ac:dyDescent="0.3">
      <c r="A678" t="s">
        <v>2993</v>
      </c>
      <c r="B678" s="1">
        <v>42742</v>
      </c>
      <c r="C678" s="1">
        <v>42747</v>
      </c>
      <c r="D678" s="1">
        <v>42736</v>
      </c>
      <c r="E678" t="s">
        <v>43</v>
      </c>
      <c r="F678" t="s">
        <v>652</v>
      </c>
      <c r="G678" t="s">
        <v>653</v>
      </c>
      <c r="H678" t="s">
        <v>76</v>
      </c>
      <c r="I678" t="s">
        <v>23</v>
      </c>
      <c r="J678" t="s">
        <v>2994</v>
      </c>
      <c r="K678" t="s">
        <v>36</v>
      </c>
      <c r="L678">
        <v>94601</v>
      </c>
      <c r="M678" t="s">
        <v>37</v>
      </c>
      <c r="N678" t="s">
        <v>2995</v>
      </c>
      <c r="O678" t="s">
        <v>39</v>
      </c>
      <c r="P678" t="s">
        <v>103</v>
      </c>
      <c r="Q678" t="s">
        <v>2996</v>
      </c>
      <c r="R678">
        <v>3458</v>
      </c>
    </row>
    <row r="679" spans="1:18" x14ac:dyDescent="0.3">
      <c r="A679" t="s">
        <v>2997</v>
      </c>
      <c r="B679" s="1">
        <v>43172</v>
      </c>
      <c r="C679" s="1">
        <v>43178</v>
      </c>
      <c r="D679" s="1">
        <v>43160</v>
      </c>
      <c r="E679" t="s">
        <v>43</v>
      </c>
      <c r="F679" t="s">
        <v>2998</v>
      </c>
      <c r="G679" t="s">
        <v>2999</v>
      </c>
      <c r="H679" t="s">
        <v>76</v>
      </c>
      <c r="I679" t="s">
        <v>23</v>
      </c>
      <c r="J679" t="s">
        <v>3000</v>
      </c>
      <c r="K679" t="s">
        <v>36</v>
      </c>
      <c r="L679">
        <v>95336</v>
      </c>
      <c r="M679" t="s">
        <v>37</v>
      </c>
      <c r="N679" t="s">
        <v>3001</v>
      </c>
      <c r="O679" t="s">
        <v>39</v>
      </c>
      <c r="P679" t="s">
        <v>63</v>
      </c>
      <c r="Q679" t="s">
        <v>3002</v>
      </c>
      <c r="R679">
        <v>31455</v>
      </c>
    </row>
    <row r="680" spans="1:18" x14ac:dyDescent="0.3">
      <c r="A680" t="s">
        <v>3003</v>
      </c>
      <c r="B680" s="1">
        <v>43127</v>
      </c>
      <c r="C680" s="1">
        <v>43130</v>
      </c>
      <c r="D680" s="1">
        <v>43101</v>
      </c>
      <c r="E680" t="s">
        <v>19</v>
      </c>
      <c r="F680" t="s">
        <v>3004</v>
      </c>
      <c r="G680" t="s">
        <v>3005</v>
      </c>
      <c r="H680" t="s">
        <v>22</v>
      </c>
      <c r="I680" t="s">
        <v>23</v>
      </c>
      <c r="J680" t="s">
        <v>3006</v>
      </c>
      <c r="K680" t="s">
        <v>377</v>
      </c>
      <c r="L680">
        <v>44240</v>
      </c>
      <c r="M680" t="s">
        <v>117</v>
      </c>
      <c r="N680" t="s">
        <v>1282</v>
      </c>
      <c r="O680" t="s">
        <v>39</v>
      </c>
      <c r="P680" t="s">
        <v>103</v>
      </c>
      <c r="Q680" t="s">
        <v>1283</v>
      </c>
      <c r="R680">
        <v>14016</v>
      </c>
    </row>
    <row r="681" spans="1:18" x14ac:dyDescent="0.3">
      <c r="A681" t="s">
        <v>3007</v>
      </c>
      <c r="B681" s="1">
        <v>42946</v>
      </c>
      <c r="C681" s="1">
        <v>42951</v>
      </c>
      <c r="D681" s="1">
        <v>42917</v>
      </c>
      <c r="E681" t="s">
        <v>43</v>
      </c>
      <c r="F681" t="s">
        <v>409</v>
      </c>
      <c r="G681" t="s">
        <v>410</v>
      </c>
      <c r="H681" t="s">
        <v>76</v>
      </c>
      <c r="I681" t="s">
        <v>23</v>
      </c>
      <c r="J681" t="s">
        <v>138</v>
      </c>
      <c r="K681" t="s">
        <v>78</v>
      </c>
      <c r="L681">
        <v>77070</v>
      </c>
      <c r="M681" t="s">
        <v>79</v>
      </c>
      <c r="N681" t="s">
        <v>3008</v>
      </c>
      <c r="O681" t="s">
        <v>39</v>
      </c>
      <c r="P681" t="s">
        <v>71</v>
      </c>
      <c r="Q681" t="s">
        <v>3009</v>
      </c>
      <c r="R681">
        <v>9264</v>
      </c>
    </row>
    <row r="682" spans="1:18" x14ac:dyDescent="0.3">
      <c r="A682" t="s">
        <v>3010</v>
      </c>
      <c r="B682" s="1">
        <v>43023</v>
      </c>
      <c r="C682" s="1">
        <v>43029</v>
      </c>
      <c r="D682" s="1">
        <v>43009</v>
      </c>
      <c r="E682" t="s">
        <v>43</v>
      </c>
      <c r="F682" t="s">
        <v>3011</v>
      </c>
      <c r="G682" t="s">
        <v>3012</v>
      </c>
      <c r="H682" t="s">
        <v>76</v>
      </c>
      <c r="I682" t="s">
        <v>23</v>
      </c>
      <c r="J682" t="s">
        <v>3013</v>
      </c>
      <c r="K682" t="s">
        <v>95</v>
      </c>
      <c r="L682">
        <v>84106</v>
      </c>
      <c r="M682" t="s">
        <v>37</v>
      </c>
      <c r="N682" t="s">
        <v>3014</v>
      </c>
      <c r="O682" t="s">
        <v>39</v>
      </c>
      <c r="P682" t="s">
        <v>63</v>
      </c>
      <c r="Q682" t="s">
        <v>3015</v>
      </c>
      <c r="R682">
        <v>4568</v>
      </c>
    </row>
    <row r="683" spans="1:18" x14ac:dyDescent="0.3">
      <c r="A683" t="s">
        <v>3016</v>
      </c>
      <c r="B683" s="1">
        <v>42862</v>
      </c>
      <c r="C683" s="1">
        <v>42866</v>
      </c>
      <c r="D683" s="1">
        <v>42856</v>
      </c>
      <c r="E683" t="s">
        <v>43</v>
      </c>
      <c r="F683" t="s">
        <v>2788</v>
      </c>
      <c r="G683" t="s">
        <v>2789</v>
      </c>
      <c r="H683" t="s">
        <v>22</v>
      </c>
      <c r="I683" t="s">
        <v>23</v>
      </c>
      <c r="J683" t="s">
        <v>206</v>
      </c>
      <c r="K683" t="s">
        <v>207</v>
      </c>
      <c r="L683">
        <v>10009</v>
      </c>
      <c r="M683" t="s">
        <v>117</v>
      </c>
      <c r="N683" t="s">
        <v>3017</v>
      </c>
      <c r="O683" t="s">
        <v>39</v>
      </c>
      <c r="P683" t="s">
        <v>71</v>
      </c>
      <c r="Q683" t="s">
        <v>3018</v>
      </c>
      <c r="R683">
        <v>85232</v>
      </c>
    </row>
    <row r="684" spans="1:18" x14ac:dyDescent="0.3">
      <c r="A684" t="s">
        <v>3019</v>
      </c>
      <c r="B684" s="1">
        <v>43322</v>
      </c>
      <c r="C684" s="1">
        <v>43327</v>
      </c>
      <c r="D684" s="1">
        <v>43313</v>
      </c>
      <c r="E684" t="s">
        <v>43</v>
      </c>
      <c r="F684" t="s">
        <v>3020</v>
      </c>
      <c r="G684" t="s">
        <v>3021</v>
      </c>
      <c r="H684" t="s">
        <v>22</v>
      </c>
      <c r="I684" t="s">
        <v>23</v>
      </c>
      <c r="J684" t="s">
        <v>376</v>
      </c>
      <c r="K684" t="s">
        <v>200</v>
      </c>
      <c r="L684">
        <v>47201</v>
      </c>
      <c r="M684" t="s">
        <v>79</v>
      </c>
      <c r="N684" t="s">
        <v>3022</v>
      </c>
      <c r="O684" t="s">
        <v>39</v>
      </c>
      <c r="P684" t="s">
        <v>154</v>
      </c>
      <c r="Q684" t="s">
        <v>493</v>
      </c>
      <c r="R684">
        <v>7008</v>
      </c>
    </row>
    <row r="685" spans="1:18" x14ac:dyDescent="0.3">
      <c r="A685" t="s">
        <v>3023</v>
      </c>
      <c r="B685" s="1">
        <v>42336</v>
      </c>
      <c r="C685" s="1">
        <v>42342</v>
      </c>
      <c r="D685" s="1">
        <v>42309</v>
      </c>
      <c r="E685" t="s">
        <v>43</v>
      </c>
      <c r="F685" t="s">
        <v>3024</v>
      </c>
      <c r="G685" t="s">
        <v>3025</v>
      </c>
      <c r="H685" t="s">
        <v>22</v>
      </c>
      <c r="I685" t="s">
        <v>23</v>
      </c>
      <c r="J685" t="s">
        <v>1179</v>
      </c>
      <c r="K685" t="s">
        <v>1180</v>
      </c>
      <c r="L685">
        <v>36116</v>
      </c>
      <c r="M685" t="s">
        <v>26</v>
      </c>
      <c r="N685" t="s">
        <v>3026</v>
      </c>
      <c r="O685" t="s">
        <v>39</v>
      </c>
      <c r="P685" t="s">
        <v>103</v>
      </c>
      <c r="Q685" t="s">
        <v>3027</v>
      </c>
      <c r="R685">
        <v>1467</v>
      </c>
    </row>
    <row r="686" spans="1:18" x14ac:dyDescent="0.3">
      <c r="A686" t="s">
        <v>3028</v>
      </c>
      <c r="B686" s="1">
        <v>42619</v>
      </c>
      <c r="C686" s="1">
        <v>42625</v>
      </c>
      <c r="D686" s="1">
        <v>42614</v>
      </c>
      <c r="E686" t="s">
        <v>43</v>
      </c>
      <c r="F686" t="s">
        <v>2314</v>
      </c>
      <c r="G686" t="s">
        <v>2315</v>
      </c>
      <c r="H686" t="s">
        <v>76</v>
      </c>
      <c r="I686" t="s">
        <v>23</v>
      </c>
      <c r="J686" t="s">
        <v>68</v>
      </c>
      <c r="K686" t="s">
        <v>69</v>
      </c>
      <c r="L686">
        <v>98103</v>
      </c>
      <c r="M686" t="s">
        <v>37</v>
      </c>
      <c r="N686" t="s">
        <v>3029</v>
      </c>
      <c r="O686" t="s">
        <v>39</v>
      </c>
      <c r="P686" t="s">
        <v>71</v>
      </c>
      <c r="Q686" t="s">
        <v>3030</v>
      </c>
      <c r="R686">
        <v>6096</v>
      </c>
    </row>
    <row r="687" spans="1:18" x14ac:dyDescent="0.3">
      <c r="A687" t="s">
        <v>3031</v>
      </c>
      <c r="B687" s="1">
        <v>42550</v>
      </c>
      <c r="C687" s="1">
        <v>42556</v>
      </c>
      <c r="D687" s="1">
        <v>42522</v>
      </c>
      <c r="E687" t="s">
        <v>43</v>
      </c>
      <c r="F687" t="s">
        <v>724</v>
      </c>
      <c r="G687" t="s">
        <v>725</v>
      </c>
      <c r="H687" t="s">
        <v>22</v>
      </c>
      <c r="I687" t="s">
        <v>23</v>
      </c>
      <c r="J687" t="s">
        <v>1567</v>
      </c>
      <c r="K687" t="s">
        <v>116</v>
      </c>
      <c r="L687">
        <v>17602</v>
      </c>
      <c r="M687" t="s">
        <v>117</v>
      </c>
      <c r="N687" t="s">
        <v>3032</v>
      </c>
      <c r="O687" t="s">
        <v>28</v>
      </c>
      <c r="P687" t="s">
        <v>55</v>
      </c>
      <c r="Q687" t="s">
        <v>3033</v>
      </c>
      <c r="R687">
        <v>20104</v>
      </c>
    </row>
    <row r="688" spans="1:18" x14ac:dyDescent="0.3">
      <c r="A688" t="s">
        <v>3034</v>
      </c>
      <c r="B688" s="1">
        <v>42199</v>
      </c>
      <c r="C688" s="1">
        <v>42205</v>
      </c>
      <c r="D688" s="1">
        <v>42186</v>
      </c>
      <c r="E688" t="s">
        <v>43</v>
      </c>
      <c r="F688" t="s">
        <v>3035</v>
      </c>
      <c r="G688" t="s">
        <v>3036</v>
      </c>
      <c r="H688" t="s">
        <v>76</v>
      </c>
      <c r="I688" t="s">
        <v>23</v>
      </c>
      <c r="J688" t="s">
        <v>345</v>
      </c>
      <c r="K688" t="s">
        <v>160</v>
      </c>
      <c r="L688">
        <v>60505</v>
      </c>
      <c r="M688" t="s">
        <v>79</v>
      </c>
      <c r="N688" t="s">
        <v>1561</v>
      </c>
      <c r="O688" t="s">
        <v>39</v>
      </c>
      <c r="P688" t="s">
        <v>71</v>
      </c>
      <c r="Q688" t="s">
        <v>1562</v>
      </c>
      <c r="R688">
        <v>29932</v>
      </c>
    </row>
    <row r="689" spans="1:18" x14ac:dyDescent="0.3">
      <c r="A689" t="s">
        <v>3037</v>
      </c>
      <c r="B689" s="1">
        <v>42322</v>
      </c>
      <c r="C689" s="1">
        <v>42324</v>
      </c>
      <c r="D689" s="1">
        <v>42309</v>
      </c>
      <c r="E689" t="s">
        <v>19</v>
      </c>
      <c r="F689" t="s">
        <v>3038</v>
      </c>
      <c r="G689" t="s">
        <v>3039</v>
      </c>
      <c r="H689" t="s">
        <v>22</v>
      </c>
      <c r="I689" t="s">
        <v>23</v>
      </c>
      <c r="J689" t="s">
        <v>538</v>
      </c>
      <c r="K689" t="s">
        <v>539</v>
      </c>
      <c r="L689">
        <v>6824</v>
      </c>
      <c r="M689" t="s">
        <v>117</v>
      </c>
      <c r="N689" t="s">
        <v>3040</v>
      </c>
      <c r="O689" t="s">
        <v>147</v>
      </c>
      <c r="P689" t="s">
        <v>148</v>
      </c>
      <c r="Q689" t="s">
        <v>3041</v>
      </c>
      <c r="R689">
        <v>83293</v>
      </c>
    </row>
    <row r="690" spans="1:18" x14ac:dyDescent="0.3">
      <c r="A690" t="s">
        <v>3042</v>
      </c>
      <c r="B690" s="1">
        <v>43309</v>
      </c>
      <c r="C690" s="1">
        <v>43313</v>
      </c>
      <c r="D690" s="1">
        <v>43282</v>
      </c>
      <c r="E690" t="s">
        <v>43</v>
      </c>
      <c r="F690" t="s">
        <v>3043</v>
      </c>
      <c r="G690" t="s">
        <v>3044</v>
      </c>
      <c r="H690" t="s">
        <v>34</v>
      </c>
      <c r="I690" t="s">
        <v>23</v>
      </c>
      <c r="J690" t="s">
        <v>101</v>
      </c>
      <c r="K690" t="s">
        <v>36</v>
      </c>
      <c r="L690">
        <v>94110</v>
      </c>
      <c r="M690" t="s">
        <v>37</v>
      </c>
      <c r="N690" t="s">
        <v>3045</v>
      </c>
      <c r="O690" t="s">
        <v>39</v>
      </c>
      <c r="P690" t="s">
        <v>71</v>
      </c>
      <c r="Q690" t="s">
        <v>3046</v>
      </c>
      <c r="R690">
        <v>9984</v>
      </c>
    </row>
    <row r="691" spans="1:18" x14ac:dyDescent="0.3">
      <c r="A691" t="s">
        <v>3047</v>
      </c>
      <c r="B691" s="1">
        <v>43312</v>
      </c>
      <c r="C691" s="1">
        <v>43317</v>
      </c>
      <c r="D691" s="1">
        <v>43282</v>
      </c>
      <c r="E691" t="s">
        <v>43</v>
      </c>
      <c r="F691" t="s">
        <v>637</v>
      </c>
      <c r="G691" t="s">
        <v>638</v>
      </c>
      <c r="H691" t="s">
        <v>34</v>
      </c>
      <c r="I691" t="s">
        <v>23</v>
      </c>
      <c r="J691" t="s">
        <v>115</v>
      </c>
      <c r="K691" t="s">
        <v>116</v>
      </c>
      <c r="L691">
        <v>19134</v>
      </c>
      <c r="M691" t="s">
        <v>117</v>
      </c>
      <c r="N691" t="s">
        <v>3048</v>
      </c>
      <c r="O691" t="s">
        <v>39</v>
      </c>
      <c r="P691" t="s">
        <v>63</v>
      </c>
      <c r="Q691" t="s">
        <v>3049</v>
      </c>
      <c r="R691">
        <v>54816</v>
      </c>
    </row>
    <row r="692" spans="1:18" x14ac:dyDescent="0.3">
      <c r="A692" t="s">
        <v>3050</v>
      </c>
      <c r="B692" s="1">
        <v>42813</v>
      </c>
      <c r="C692" s="1">
        <v>42815</v>
      </c>
      <c r="D692" s="1">
        <v>42795</v>
      </c>
      <c r="E692" t="s">
        <v>19</v>
      </c>
      <c r="F692" t="s">
        <v>3051</v>
      </c>
      <c r="G692" t="s">
        <v>3052</v>
      </c>
      <c r="H692" t="s">
        <v>22</v>
      </c>
      <c r="I692" t="s">
        <v>23</v>
      </c>
      <c r="J692" t="s">
        <v>3053</v>
      </c>
      <c r="K692" t="s">
        <v>346</v>
      </c>
      <c r="L692">
        <v>80122</v>
      </c>
      <c r="M692" t="s">
        <v>37</v>
      </c>
      <c r="N692" t="s">
        <v>3054</v>
      </c>
      <c r="O692" t="s">
        <v>28</v>
      </c>
      <c r="P692" t="s">
        <v>29</v>
      </c>
      <c r="Q692" t="s">
        <v>3055</v>
      </c>
      <c r="R692">
        <v>72294</v>
      </c>
    </row>
    <row r="693" spans="1:18" x14ac:dyDescent="0.3">
      <c r="A693" t="s">
        <v>3056</v>
      </c>
      <c r="B693" s="1">
        <v>42094</v>
      </c>
      <c r="C693" s="1">
        <v>42099</v>
      </c>
      <c r="D693" s="1">
        <v>42064</v>
      </c>
      <c r="E693" t="s">
        <v>43</v>
      </c>
      <c r="F693" t="s">
        <v>3057</v>
      </c>
      <c r="G693" t="s">
        <v>3058</v>
      </c>
      <c r="H693" t="s">
        <v>22</v>
      </c>
      <c r="I693" t="s">
        <v>23</v>
      </c>
      <c r="J693" t="s">
        <v>101</v>
      </c>
      <c r="K693" t="s">
        <v>36</v>
      </c>
      <c r="L693">
        <v>94122</v>
      </c>
      <c r="M693" t="s">
        <v>37</v>
      </c>
      <c r="N693" t="s">
        <v>3059</v>
      </c>
      <c r="O693" t="s">
        <v>39</v>
      </c>
      <c r="P693" t="s">
        <v>71</v>
      </c>
      <c r="Q693" t="s">
        <v>3060</v>
      </c>
      <c r="R693">
        <v>673568</v>
      </c>
    </row>
    <row r="694" spans="1:18" x14ac:dyDescent="0.3">
      <c r="A694" t="s">
        <v>3061</v>
      </c>
      <c r="B694" s="1">
        <v>42931</v>
      </c>
      <c r="C694" s="1">
        <v>42937</v>
      </c>
      <c r="D694" s="1">
        <v>42917</v>
      </c>
      <c r="E694" t="s">
        <v>43</v>
      </c>
      <c r="F694" t="s">
        <v>3062</v>
      </c>
      <c r="G694" t="s">
        <v>3063</v>
      </c>
      <c r="H694" t="s">
        <v>76</v>
      </c>
      <c r="I694" t="s">
        <v>23</v>
      </c>
      <c r="J694" t="s">
        <v>2280</v>
      </c>
      <c r="K694" t="s">
        <v>95</v>
      </c>
      <c r="L694">
        <v>84604</v>
      </c>
      <c r="M694" t="s">
        <v>37</v>
      </c>
      <c r="N694" t="s">
        <v>3064</v>
      </c>
      <c r="O694" t="s">
        <v>39</v>
      </c>
      <c r="P694" t="s">
        <v>1264</v>
      </c>
      <c r="Q694" t="s">
        <v>3065</v>
      </c>
      <c r="R694">
        <v>444</v>
      </c>
    </row>
    <row r="695" spans="1:18" x14ac:dyDescent="0.3">
      <c r="A695" t="s">
        <v>3066</v>
      </c>
      <c r="B695" s="1">
        <v>43210</v>
      </c>
      <c r="C695" s="1">
        <v>43216</v>
      </c>
      <c r="D695" s="1">
        <v>43191</v>
      </c>
      <c r="E695" t="s">
        <v>43</v>
      </c>
      <c r="F695" t="s">
        <v>1667</v>
      </c>
      <c r="G695" t="s">
        <v>1668</v>
      </c>
      <c r="H695" t="s">
        <v>76</v>
      </c>
      <c r="I695" t="s">
        <v>23</v>
      </c>
      <c r="J695" t="s">
        <v>225</v>
      </c>
      <c r="K695" t="s">
        <v>160</v>
      </c>
      <c r="L695">
        <v>60610</v>
      </c>
      <c r="M695" t="s">
        <v>79</v>
      </c>
      <c r="N695" t="s">
        <v>3067</v>
      </c>
      <c r="O695" t="s">
        <v>28</v>
      </c>
      <c r="P695" t="s">
        <v>55</v>
      </c>
      <c r="Q695" t="s">
        <v>3068</v>
      </c>
      <c r="R695">
        <v>444</v>
      </c>
    </row>
    <row r="696" spans="1:18" x14ac:dyDescent="0.3">
      <c r="A696" t="s">
        <v>3069</v>
      </c>
      <c r="B696" s="1">
        <v>42641</v>
      </c>
      <c r="C696" s="1">
        <v>42644</v>
      </c>
      <c r="D696" s="1">
        <v>42614</v>
      </c>
      <c r="E696" t="s">
        <v>142</v>
      </c>
      <c r="F696" t="s">
        <v>3070</v>
      </c>
      <c r="G696" t="s">
        <v>3071</v>
      </c>
      <c r="H696" t="s">
        <v>34</v>
      </c>
      <c r="I696" t="s">
        <v>23</v>
      </c>
      <c r="J696" t="s">
        <v>101</v>
      </c>
      <c r="K696" t="s">
        <v>36</v>
      </c>
      <c r="L696">
        <v>94110</v>
      </c>
      <c r="M696" t="s">
        <v>37</v>
      </c>
      <c r="N696" t="s">
        <v>889</v>
      </c>
      <c r="O696" t="s">
        <v>39</v>
      </c>
      <c r="P696" t="s">
        <v>81</v>
      </c>
      <c r="Q696" t="s">
        <v>890</v>
      </c>
      <c r="R696">
        <v>4326</v>
      </c>
    </row>
    <row r="697" spans="1:18" x14ac:dyDescent="0.3">
      <c r="A697" t="s">
        <v>3072</v>
      </c>
      <c r="B697" s="1">
        <v>43137</v>
      </c>
      <c r="C697" s="1">
        <v>43140</v>
      </c>
      <c r="D697" s="1">
        <v>43132</v>
      </c>
      <c r="E697" t="s">
        <v>142</v>
      </c>
      <c r="F697" t="s">
        <v>3073</v>
      </c>
      <c r="G697" t="s">
        <v>3074</v>
      </c>
      <c r="H697" t="s">
        <v>22</v>
      </c>
      <c r="I697" t="s">
        <v>23</v>
      </c>
      <c r="J697" t="s">
        <v>1374</v>
      </c>
      <c r="K697" t="s">
        <v>239</v>
      </c>
      <c r="L697">
        <v>22204</v>
      </c>
      <c r="M697" t="s">
        <v>26</v>
      </c>
      <c r="N697" t="s">
        <v>2453</v>
      </c>
      <c r="O697" t="s">
        <v>28</v>
      </c>
      <c r="P697" t="s">
        <v>29</v>
      </c>
      <c r="Q697" t="s">
        <v>2454</v>
      </c>
      <c r="R697">
        <v>35997</v>
      </c>
    </row>
    <row r="698" spans="1:18" x14ac:dyDescent="0.3">
      <c r="A698" t="s">
        <v>3075</v>
      </c>
      <c r="B698" s="1">
        <v>43053</v>
      </c>
      <c r="C698" s="1">
        <v>43055</v>
      </c>
      <c r="D698" s="1">
        <v>43040</v>
      </c>
      <c r="E698" t="s">
        <v>19</v>
      </c>
      <c r="F698" t="s">
        <v>1184</v>
      </c>
      <c r="G698" t="s">
        <v>1185</v>
      </c>
      <c r="H698" t="s">
        <v>22</v>
      </c>
      <c r="I698" t="s">
        <v>23</v>
      </c>
      <c r="J698" t="s">
        <v>1124</v>
      </c>
      <c r="K698" t="s">
        <v>845</v>
      </c>
      <c r="L698">
        <v>30318</v>
      </c>
      <c r="M698" t="s">
        <v>26</v>
      </c>
      <c r="N698" t="s">
        <v>3076</v>
      </c>
      <c r="O698" t="s">
        <v>147</v>
      </c>
      <c r="P698" t="s">
        <v>180</v>
      </c>
      <c r="Q698" t="s">
        <v>3077</v>
      </c>
      <c r="R698">
        <v>49998</v>
      </c>
    </row>
    <row r="699" spans="1:18" x14ac:dyDescent="0.3">
      <c r="A699" t="s">
        <v>3078</v>
      </c>
      <c r="B699" s="1">
        <v>43360</v>
      </c>
      <c r="C699" s="1">
        <v>43360</v>
      </c>
      <c r="D699" s="1">
        <v>43344</v>
      </c>
      <c r="E699" t="s">
        <v>857</v>
      </c>
      <c r="F699" t="s">
        <v>3079</v>
      </c>
      <c r="G699" t="s">
        <v>3080</v>
      </c>
      <c r="H699" t="s">
        <v>22</v>
      </c>
      <c r="I699" t="s">
        <v>23</v>
      </c>
      <c r="J699" t="s">
        <v>68</v>
      </c>
      <c r="K699" t="s">
        <v>69</v>
      </c>
      <c r="L699">
        <v>98115</v>
      </c>
      <c r="M699" t="s">
        <v>37</v>
      </c>
      <c r="N699" t="s">
        <v>3081</v>
      </c>
      <c r="O699" t="s">
        <v>39</v>
      </c>
      <c r="P699" t="s">
        <v>63</v>
      </c>
      <c r="Q699" t="s">
        <v>3082</v>
      </c>
      <c r="R699">
        <v>1296</v>
      </c>
    </row>
    <row r="700" spans="1:18" x14ac:dyDescent="0.3">
      <c r="A700" t="s">
        <v>3083</v>
      </c>
      <c r="B700" s="1">
        <v>43454</v>
      </c>
      <c r="C700" s="1">
        <v>43460</v>
      </c>
      <c r="D700" s="1">
        <v>43435</v>
      </c>
      <c r="E700" t="s">
        <v>43</v>
      </c>
      <c r="F700" t="s">
        <v>903</v>
      </c>
      <c r="G700" t="s">
        <v>904</v>
      </c>
      <c r="H700" t="s">
        <v>34</v>
      </c>
      <c r="I700" t="s">
        <v>23</v>
      </c>
      <c r="J700" t="s">
        <v>290</v>
      </c>
      <c r="K700" t="s">
        <v>207</v>
      </c>
      <c r="L700">
        <v>14609</v>
      </c>
      <c r="M700" t="s">
        <v>117</v>
      </c>
      <c r="N700" t="s">
        <v>3084</v>
      </c>
      <c r="O700" t="s">
        <v>39</v>
      </c>
      <c r="P700" t="s">
        <v>63</v>
      </c>
      <c r="Q700" t="s">
        <v>3085</v>
      </c>
      <c r="R700">
        <v>648</v>
      </c>
    </row>
    <row r="701" spans="1:18" x14ac:dyDescent="0.3">
      <c r="A701" t="s">
        <v>3086</v>
      </c>
      <c r="B701" s="1">
        <v>42435</v>
      </c>
      <c r="C701" s="1">
        <v>42440</v>
      </c>
      <c r="D701" s="1">
        <v>42430</v>
      </c>
      <c r="E701" t="s">
        <v>43</v>
      </c>
      <c r="F701" t="s">
        <v>797</v>
      </c>
      <c r="G701" t="s">
        <v>798</v>
      </c>
      <c r="H701" t="s">
        <v>22</v>
      </c>
      <c r="I701" t="s">
        <v>23</v>
      </c>
      <c r="J701" t="s">
        <v>101</v>
      </c>
      <c r="K701" t="s">
        <v>36</v>
      </c>
      <c r="L701">
        <v>94122</v>
      </c>
      <c r="M701" t="s">
        <v>37</v>
      </c>
      <c r="N701" t="s">
        <v>3087</v>
      </c>
      <c r="O701" t="s">
        <v>28</v>
      </c>
      <c r="P701" t="s">
        <v>55</v>
      </c>
      <c r="Q701" t="s">
        <v>3088</v>
      </c>
      <c r="R701">
        <v>43526</v>
      </c>
    </row>
    <row r="702" spans="1:18" x14ac:dyDescent="0.3">
      <c r="A702" t="s">
        <v>3089</v>
      </c>
      <c r="B702" s="1">
        <v>42182</v>
      </c>
      <c r="C702" s="1">
        <v>42186</v>
      </c>
      <c r="D702" s="1">
        <v>42156</v>
      </c>
      <c r="E702" t="s">
        <v>43</v>
      </c>
      <c r="F702" t="s">
        <v>1209</v>
      </c>
      <c r="G702" t="s">
        <v>1210</v>
      </c>
      <c r="H702" t="s">
        <v>22</v>
      </c>
      <c r="I702" t="s">
        <v>23</v>
      </c>
      <c r="J702" t="s">
        <v>3090</v>
      </c>
      <c r="K702" t="s">
        <v>984</v>
      </c>
      <c r="L702">
        <v>38671</v>
      </c>
      <c r="M702" t="s">
        <v>26</v>
      </c>
      <c r="N702" t="s">
        <v>2049</v>
      </c>
      <c r="O702" t="s">
        <v>39</v>
      </c>
      <c r="P702" t="s">
        <v>89</v>
      </c>
      <c r="Q702" t="s">
        <v>2050</v>
      </c>
      <c r="R702">
        <v>3062</v>
      </c>
    </row>
    <row r="703" spans="1:18" x14ac:dyDescent="0.3">
      <c r="A703" t="s">
        <v>3091</v>
      </c>
      <c r="B703" s="1">
        <v>43421</v>
      </c>
      <c r="C703" s="1">
        <v>43427</v>
      </c>
      <c r="D703" s="1">
        <v>43405</v>
      </c>
      <c r="E703" t="s">
        <v>43</v>
      </c>
      <c r="F703" t="s">
        <v>2016</v>
      </c>
      <c r="G703" t="s">
        <v>2017</v>
      </c>
      <c r="H703" t="s">
        <v>22</v>
      </c>
      <c r="I703" t="s">
        <v>23</v>
      </c>
      <c r="J703" t="s">
        <v>1275</v>
      </c>
      <c r="K703" t="s">
        <v>239</v>
      </c>
      <c r="L703">
        <v>24153</v>
      </c>
      <c r="M703" t="s">
        <v>26</v>
      </c>
      <c r="N703" t="s">
        <v>3092</v>
      </c>
      <c r="O703" t="s">
        <v>39</v>
      </c>
      <c r="P703" t="s">
        <v>81</v>
      </c>
      <c r="Q703" t="s">
        <v>3093</v>
      </c>
      <c r="R703">
        <v>3504</v>
      </c>
    </row>
    <row r="704" spans="1:18" x14ac:dyDescent="0.3">
      <c r="A704" t="s">
        <v>3094</v>
      </c>
      <c r="B704" s="1">
        <v>43252</v>
      </c>
      <c r="C704" s="1">
        <v>43256</v>
      </c>
      <c r="D704" s="1">
        <v>43252</v>
      </c>
      <c r="E704" t="s">
        <v>19</v>
      </c>
      <c r="F704" t="s">
        <v>713</v>
      </c>
      <c r="G704" t="s">
        <v>714</v>
      </c>
      <c r="H704" t="s">
        <v>34</v>
      </c>
      <c r="I704" t="s">
        <v>23</v>
      </c>
      <c r="J704" t="s">
        <v>1797</v>
      </c>
      <c r="K704" t="s">
        <v>377</v>
      </c>
      <c r="L704">
        <v>43615</v>
      </c>
      <c r="M704" t="s">
        <v>117</v>
      </c>
      <c r="N704" t="s">
        <v>3095</v>
      </c>
      <c r="O704" t="s">
        <v>39</v>
      </c>
      <c r="P704" t="s">
        <v>81</v>
      </c>
      <c r="Q704" t="s">
        <v>3096</v>
      </c>
      <c r="R704">
        <v>1748</v>
      </c>
    </row>
    <row r="705" spans="1:18" x14ac:dyDescent="0.3">
      <c r="A705" t="s">
        <v>3097</v>
      </c>
      <c r="B705" s="1">
        <v>43108</v>
      </c>
      <c r="C705" s="1">
        <v>43111</v>
      </c>
      <c r="D705" s="1">
        <v>43101</v>
      </c>
      <c r="E705" t="s">
        <v>142</v>
      </c>
      <c r="F705" t="s">
        <v>3098</v>
      </c>
      <c r="G705" t="s">
        <v>3099</v>
      </c>
      <c r="H705" t="s">
        <v>34</v>
      </c>
      <c r="I705" t="s">
        <v>23</v>
      </c>
      <c r="J705" t="s">
        <v>68</v>
      </c>
      <c r="K705" t="s">
        <v>69</v>
      </c>
      <c r="L705">
        <v>98115</v>
      </c>
      <c r="M705" t="s">
        <v>37</v>
      </c>
      <c r="N705" t="s">
        <v>3100</v>
      </c>
      <c r="O705" t="s">
        <v>28</v>
      </c>
      <c r="P705" t="s">
        <v>49</v>
      </c>
      <c r="Q705" t="s">
        <v>3101</v>
      </c>
      <c r="R705">
        <v>89298</v>
      </c>
    </row>
    <row r="706" spans="1:18" x14ac:dyDescent="0.3">
      <c r="A706" t="s">
        <v>3102</v>
      </c>
      <c r="B706" s="1">
        <v>42480</v>
      </c>
      <c r="C706" s="1">
        <v>42485</v>
      </c>
      <c r="D706" s="1">
        <v>42461</v>
      </c>
      <c r="E706" t="s">
        <v>43</v>
      </c>
      <c r="F706" t="s">
        <v>1957</v>
      </c>
      <c r="G706" t="s">
        <v>1958</v>
      </c>
      <c r="H706" t="s">
        <v>34</v>
      </c>
      <c r="I706" t="s">
        <v>23</v>
      </c>
      <c r="J706" t="s">
        <v>376</v>
      </c>
      <c r="K706" t="s">
        <v>845</v>
      </c>
      <c r="L706">
        <v>31907</v>
      </c>
      <c r="M706" t="s">
        <v>26</v>
      </c>
      <c r="N706" t="s">
        <v>3103</v>
      </c>
      <c r="O706" t="s">
        <v>147</v>
      </c>
      <c r="P706" t="s">
        <v>148</v>
      </c>
      <c r="Q706" t="s">
        <v>3104</v>
      </c>
      <c r="R706">
        <v>28797</v>
      </c>
    </row>
    <row r="707" spans="1:18" x14ac:dyDescent="0.3">
      <c r="A707" t="s">
        <v>3105</v>
      </c>
      <c r="B707" s="1">
        <v>42588</v>
      </c>
      <c r="C707" s="1">
        <v>42590</v>
      </c>
      <c r="D707" s="1">
        <v>42583</v>
      </c>
      <c r="E707" t="s">
        <v>142</v>
      </c>
      <c r="F707" t="s">
        <v>606</v>
      </c>
      <c r="G707" t="s">
        <v>607</v>
      </c>
      <c r="H707" t="s">
        <v>34</v>
      </c>
      <c r="I707" t="s">
        <v>23</v>
      </c>
      <c r="J707" t="s">
        <v>138</v>
      </c>
      <c r="K707" t="s">
        <v>78</v>
      </c>
      <c r="L707">
        <v>77041</v>
      </c>
      <c r="M707" t="s">
        <v>79</v>
      </c>
      <c r="N707" t="s">
        <v>1853</v>
      </c>
      <c r="O707" t="s">
        <v>39</v>
      </c>
      <c r="P707" t="s">
        <v>63</v>
      </c>
      <c r="Q707" t="s">
        <v>1854</v>
      </c>
      <c r="R707">
        <v>27216</v>
      </c>
    </row>
    <row r="708" spans="1:18" x14ac:dyDescent="0.3">
      <c r="A708" t="s">
        <v>3106</v>
      </c>
      <c r="B708" s="1">
        <v>42727</v>
      </c>
      <c r="C708" s="1">
        <v>42730</v>
      </c>
      <c r="D708" s="1">
        <v>42705</v>
      </c>
      <c r="E708" t="s">
        <v>142</v>
      </c>
      <c r="F708" t="s">
        <v>1200</v>
      </c>
      <c r="G708" t="s">
        <v>1201</v>
      </c>
      <c r="H708" t="s">
        <v>22</v>
      </c>
      <c r="I708" t="s">
        <v>23</v>
      </c>
      <c r="J708" t="s">
        <v>1269</v>
      </c>
      <c r="K708" t="s">
        <v>239</v>
      </c>
      <c r="L708">
        <v>23223</v>
      </c>
      <c r="M708" t="s">
        <v>26</v>
      </c>
      <c r="N708" t="s">
        <v>1322</v>
      </c>
      <c r="O708" t="s">
        <v>39</v>
      </c>
      <c r="P708" t="s">
        <v>81</v>
      </c>
      <c r="Q708" t="s">
        <v>1323</v>
      </c>
      <c r="R708">
        <v>19432</v>
      </c>
    </row>
    <row r="709" spans="1:18" x14ac:dyDescent="0.3">
      <c r="A709" t="s">
        <v>3107</v>
      </c>
      <c r="B709" s="1">
        <v>42729</v>
      </c>
      <c r="C709" s="1">
        <v>42733</v>
      </c>
      <c r="D709" s="1">
        <v>42705</v>
      </c>
      <c r="E709" t="s">
        <v>43</v>
      </c>
      <c r="F709" t="s">
        <v>3108</v>
      </c>
      <c r="G709" t="s">
        <v>3109</v>
      </c>
      <c r="H709" t="s">
        <v>34</v>
      </c>
      <c r="I709" t="s">
        <v>23</v>
      </c>
      <c r="J709" t="s">
        <v>115</v>
      </c>
      <c r="K709" t="s">
        <v>116</v>
      </c>
      <c r="L709">
        <v>19140</v>
      </c>
      <c r="M709" t="s">
        <v>117</v>
      </c>
      <c r="N709" t="s">
        <v>3110</v>
      </c>
      <c r="O709" t="s">
        <v>28</v>
      </c>
      <c r="P709" t="s">
        <v>55</v>
      </c>
      <c r="Q709" t="s">
        <v>3111</v>
      </c>
      <c r="R709">
        <v>547136</v>
      </c>
    </row>
    <row r="710" spans="1:18" x14ac:dyDescent="0.3">
      <c r="A710" t="s">
        <v>3112</v>
      </c>
      <c r="B710" s="1">
        <v>43180</v>
      </c>
      <c r="C710" s="1">
        <v>43184</v>
      </c>
      <c r="D710" s="1">
        <v>43160</v>
      </c>
      <c r="E710" t="s">
        <v>43</v>
      </c>
      <c r="F710" t="s">
        <v>3113</v>
      </c>
      <c r="G710" t="s">
        <v>3114</v>
      </c>
      <c r="H710" t="s">
        <v>22</v>
      </c>
      <c r="I710" t="s">
        <v>23</v>
      </c>
      <c r="J710" t="s">
        <v>2858</v>
      </c>
      <c r="K710" t="s">
        <v>200</v>
      </c>
      <c r="L710">
        <v>47905</v>
      </c>
      <c r="M710" t="s">
        <v>79</v>
      </c>
      <c r="N710" t="s">
        <v>1441</v>
      </c>
      <c r="O710" t="s">
        <v>39</v>
      </c>
      <c r="P710" t="s">
        <v>63</v>
      </c>
      <c r="Q710" t="s">
        <v>1442</v>
      </c>
      <c r="R710">
        <v>2774</v>
      </c>
    </row>
    <row r="711" spans="1:18" x14ac:dyDescent="0.3">
      <c r="A711" t="s">
        <v>3115</v>
      </c>
      <c r="B711" s="1">
        <v>42239</v>
      </c>
      <c r="C711" s="1">
        <v>42239</v>
      </c>
      <c r="D711" s="1">
        <v>42217</v>
      </c>
      <c r="E711" t="s">
        <v>857</v>
      </c>
      <c r="F711" t="s">
        <v>1576</v>
      </c>
      <c r="G711" t="s">
        <v>1577</v>
      </c>
      <c r="H711" t="s">
        <v>22</v>
      </c>
      <c r="I711" t="s">
        <v>23</v>
      </c>
      <c r="J711" t="s">
        <v>206</v>
      </c>
      <c r="K711" t="s">
        <v>207</v>
      </c>
      <c r="L711">
        <v>10009</v>
      </c>
      <c r="M711" t="s">
        <v>117</v>
      </c>
      <c r="N711" t="s">
        <v>3116</v>
      </c>
      <c r="O711" t="s">
        <v>39</v>
      </c>
      <c r="P711" t="s">
        <v>63</v>
      </c>
      <c r="Q711" t="s">
        <v>3117</v>
      </c>
      <c r="R711">
        <v>2592</v>
      </c>
    </row>
    <row r="712" spans="1:18" x14ac:dyDescent="0.3">
      <c r="A712" t="s">
        <v>3118</v>
      </c>
      <c r="B712" s="1">
        <v>42235</v>
      </c>
      <c r="C712" s="1">
        <v>42240</v>
      </c>
      <c r="D712" s="1">
        <v>42217</v>
      </c>
      <c r="E712" t="s">
        <v>43</v>
      </c>
      <c r="F712" t="s">
        <v>3119</v>
      </c>
      <c r="G712" t="s">
        <v>3120</v>
      </c>
      <c r="H712" t="s">
        <v>22</v>
      </c>
      <c r="I712" t="s">
        <v>23</v>
      </c>
      <c r="J712" t="s">
        <v>376</v>
      </c>
      <c r="K712" t="s">
        <v>377</v>
      </c>
      <c r="L712">
        <v>43229</v>
      </c>
      <c r="M712" t="s">
        <v>117</v>
      </c>
      <c r="N712" t="s">
        <v>301</v>
      </c>
      <c r="O712" t="s">
        <v>39</v>
      </c>
      <c r="P712" t="s">
        <v>103</v>
      </c>
      <c r="Q712" t="s">
        <v>302</v>
      </c>
      <c r="R712">
        <v>1072</v>
      </c>
    </row>
    <row r="713" spans="1:18" x14ac:dyDescent="0.3">
      <c r="A713" t="s">
        <v>3121</v>
      </c>
      <c r="B713" s="1">
        <v>42211</v>
      </c>
      <c r="C713" s="1">
        <v>42215</v>
      </c>
      <c r="D713" s="1">
        <v>42186</v>
      </c>
      <c r="E713" t="s">
        <v>19</v>
      </c>
      <c r="F713" t="s">
        <v>3122</v>
      </c>
      <c r="G713" t="s">
        <v>3123</v>
      </c>
      <c r="H713" t="s">
        <v>22</v>
      </c>
      <c r="I713" t="s">
        <v>23</v>
      </c>
      <c r="J713" t="s">
        <v>225</v>
      </c>
      <c r="K713" t="s">
        <v>160</v>
      </c>
      <c r="L713">
        <v>60623</v>
      </c>
      <c r="M713" t="s">
        <v>79</v>
      </c>
      <c r="N713" t="s">
        <v>2345</v>
      </c>
      <c r="O713" t="s">
        <v>39</v>
      </c>
      <c r="P713" t="s">
        <v>89</v>
      </c>
      <c r="Q713" t="s">
        <v>2346</v>
      </c>
      <c r="R713">
        <v>123552</v>
      </c>
    </row>
    <row r="714" spans="1:18" x14ac:dyDescent="0.3">
      <c r="A714" t="s">
        <v>3124</v>
      </c>
      <c r="B714" s="1">
        <v>42788</v>
      </c>
      <c r="C714" s="1">
        <v>42794</v>
      </c>
      <c r="D714" s="1">
        <v>42767</v>
      </c>
      <c r="E714" t="s">
        <v>43</v>
      </c>
      <c r="F714" t="s">
        <v>2002</v>
      </c>
      <c r="G714" t="s">
        <v>2003</v>
      </c>
      <c r="H714" t="s">
        <v>76</v>
      </c>
      <c r="I714" t="s">
        <v>23</v>
      </c>
      <c r="J714" t="s">
        <v>1614</v>
      </c>
      <c r="K714" t="s">
        <v>87</v>
      </c>
      <c r="L714">
        <v>53209</v>
      </c>
      <c r="M714" t="s">
        <v>79</v>
      </c>
      <c r="N714" t="s">
        <v>3125</v>
      </c>
      <c r="O714" t="s">
        <v>39</v>
      </c>
      <c r="P714" t="s">
        <v>81</v>
      </c>
      <c r="Q714" t="s">
        <v>3126</v>
      </c>
      <c r="R714">
        <v>49032</v>
      </c>
    </row>
    <row r="715" spans="1:18" x14ac:dyDescent="0.3">
      <c r="A715" t="s">
        <v>3127</v>
      </c>
      <c r="B715" s="1">
        <v>43001</v>
      </c>
      <c r="C715" s="1">
        <v>43005</v>
      </c>
      <c r="D715" s="1">
        <v>42979</v>
      </c>
      <c r="E715" t="s">
        <v>43</v>
      </c>
      <c r="F715" t="s">
        <v>1779</v>
      </c>
      <c r="G715" t="s">
        <v>1780</v>
      </c>
      <c r="H715" t="s">
        <v>34</v>
      </c>
      <c r="I715" t="s">
        <v>23</v>
      </c>
      <c r="J715" t="s">
        <v>538</v>
      </c>
      <c r="K715" t="s">
        <v>377</v>
      </c>
      <c r="L715">
        <v>45014</v>
      </c>
      <c r="M715" t="s">
        <v>117</v>
      </c>
      <c r="N715" t="s">
        <v>3128</v>
      </c>
      <c r="O715" t="s">
        <v>28</v>
      </c>
      <c r="P715" t="s">
        <v>55</v>
      </c>
      <c r="Q715" t="s">
        <v>3129</v>
      </c>
      <c r="R715">
        <v>532704</v>
      </c>
    </row>
    <row r="716" spans="1:18" x14ac:dyDescent="0.3">
      <c r="A716" t="s">
        <v>3130</v>
      </c>
      <c r="B716" s="1">
        <v>43124</v>
      </c>
      <c r="C716" s="1">
        <v>43130</v>
      </c>
      <c r="D716" s="1">
        <v>43101</v>
      </c>
      <c r="E716" t="s">
        <v>43</v>
      </c>
      <c r="F716" t="s">
        <v>3131</v>
      </c>
      <c r="G716" t="s">
        <v>3132</v>
      </c>
      <c r="H716" t="s">
        <v>22</v>
      </c>
      <c r="I716" t="s">
        <v>23</v>
      </c>
      <c r="J716" t="s">
        <v>2290</v>
      </c>
      <c r="K716" t="s">
        <v>845</v>
      </c>
      <c r="L716">
        <v>30080</v>
      </c>
      <c r="M716" t="s">
        <v>26</v>
      </c>
      <c r="N716" t="s">
        <v>3133</v>
      </c>
      <c r="O716" t="s">
        <v>39</v>
      </c>
      <c r="P716" t="s">
        <v>209</v>
      </c>
      <c r="Q716" t="s">
        <v>3134</v>
      </c>
      <c r="R716">
        <v>567</v>
      </c>
    </row>
    <row r="717" spans="1:18" x14ac:dyDescent="0.3">
      <c r="A717" t="s">
        <v>3135</v>
      </c>
      <c r="B717" s="1">
        <v>42861</v>
      </c>
      <c r="C717" s="1">
        <v>42865</v>
      </c>
      <c r="D717" s="1">
        <v>42856</v>
      </c>
      <c r="E717" t="s">
        <v>43</v>
      </c>
      <c r="F717" t="s">
        <v>3136</v>
      </c>
      <c r="G717" t="s">
        <v>3137</v>
      </c>
      <c r="H717" t="s">
        <v>76</v>
      </c>
      <c r="I717" t="s">
        <v>23</v>
      </c>
      <c r="J717" t="s">
        <v>1655</v>
      </c>
      <c r="K717" t="s">
        <v>377</v>
      </c>
      <c r="L717">
        <v>44052</v>
      </c>
      <c r="M717" t="s">
        <v>117</v>
      </c>
      <c r="N717" t="s">
        <v>1223</v>
      </c>
      <c r="O717" t="s">
        <v>39</v>
      </c>
      <c r="P717" t="s">
        <v>209</v>
      </c>
      <c r="Q717" t="s">
        <v>1224</v>
      </c>
      <c r="R717">
        <v>7216</v>
      </c>
    </row>
    <row r="718" spans="1:18" x14ac:dyDescent="0.3">
      <c r="A718" t="s">
        <v>3138</v>
      </c>
      <c r="B718" s="1">
        <v>42811</v>
      </c>
      <c r="C718" s="1">
        <v>42817</v>
      </c>
      <c r="D718" s="1">
        <v>42795</v>
      </c>
      <c r="E718" t="s">
        <v>43</v>
      </c>
      <c r="F718" t="s">
        <v>2016</v>
      </c>
      <c r="G718" t="s">
        <v>2017</v>
      </c>
      <c r="H718" t="s">
        <v>22</v>
      </c>
      <c r="I718" t="s">
        <v>23</v>
      </c>
      <c r="J718" t="s">
        <v>3139</v>
      </c>
      <c r="K718" t="s">
        <v>829</v>
      </c>
      <c r="L718">
        <v>2148</v>
      </c>
      <c r="M718" t="s">
        <v>117</v>
      </c>
      <c r="N718" t="s">
        <v>1027</v>
      </c>
      <c r="O718" t="s">
        <v>39</v>
      </c>
      <c r="P718" t="s">
        <v>103</v>
      </c>
      <c r="Q718" t="s">
        <v>1028</v>
      </c>
      <c r="R718">
        <v>3968</v>
      </c>
    </row>
    <row r="719" spans="1:18" x14ac:dyDescent="0.3">
      <c r="A719" t="s">
        <v>3140</v>
      </c>
      <c r="B719" s="1">
        <v>42688</v>
      </c>
      <c r="C719" s="1">
        <v>42693</v>
      </c>
      <c r="D719" s="1">
        <v>42675</v>
      </c>
      <c r="E719" t="s">
        <v>43</v>
      </c>
      <c r="F719" t="s">
        <v>3141</v>
      </c>
      <c r="G719" t="s">
        <v>3142</v>
      </c>
      <c r="H719" t="s">
        <v>34</v>
      </c>
      <c r="I719" t="s">
        <v>23</v>
      </c>
      <c r="J719" t="s">
        <v>206</v>
      </c>
      <c r="K719" t="s">
        <v>207</v>
      </c>
      <c r="L719">
        <v>10035</v>
      </c>
      <c r="M719" t="s">
        <v>117</v>
      </c>
      <c r="N719" t="s">
        <v>3143</v>
      </c>
      <c r="O719" t="s">
        <v>147</v>
      </c>
      <c r="P719" t="s">
        <v>180</v>
      </c>
      <c r="Q719" t="s">
        <v>3144</v>
      </c>
      <c r="R719">
        <v>376</v>
      </c>
    </row>
    <row r="720" spans="1:18" x14ac:dyDescent="0.3">
      <c r="A720" t="s">
        <v>3145</v>
      </c>
      <c r="B720" s="1">
        <v>43326</v>
      </c>
      <c r="C720" s="1">
        <v>43328</v>
      </c>
      <c r="D720" s="1">
        <v>43313</v>
      </c>
      <c r="E720" t="s">
        <v>19</v>
      </c>
      <c r="F720" t="s">
        <v>2118</v>
      </c>
      <c r="G720" t="s">
        <v>2119</v>
      </c>
      <c r="H720" t="s">
        <v>22</v>
      </c>
      <c r="I720" t="s">
        <v>23</v>
      </c>
      <c r="J720" t="s">
        <v>101</v>
      </c>
      <c r="K720" t="s">
        <v>36</v>
      </c>
      <c r="L720">
        <v>94109</v>
      </c>
      <c r="M720" t="s">
        <v>37</v>
      </c>
      <c r="N720" t="s">
        <v>1835</v>
      </c>
      <c r="O720" t="s">
        <v>39</v>
      </c>
      <c r="P720" t="s">
        <v>40</v>
      </c>
      <c r="Q720" t="s">
        <v>1836</v>
      </c>
      <c r="R720">
        <v>576</v>
      </c>
    </row>
    <row r="721" spans="1:18" x14ac:dyDescent="0.3">
      <c r="A721" t="s">
        <v>3146</v>
      </c>
      <c r="B721" s="1">
        <v>43191</v>
      </c>
      <c r="C721" s="1">
        <v>43194</v>
      </c>
      <c r="D721" s="1">
        <v>43191</v>
      </c>
      <c r="E721" t="s">
        <v>19</v>
      </c>
      <c r="F721" t="s">
        <v>3147</v>
      </c>
      <c r="G721" t="s">
        <v>3148</v>
      </c>
      <c r="H721" t="s">
        <v>22</v>
      </c>
      <c r="I721" t="s">
        <v>23</v>
      </c>
      <c r="J721" t="s">
        <v>238</v>
      </c>
      <c r="K721" t="s">
        <v>437</v>
      </c>
      <c r="L721">
        <v>65807</v>
      </c>
      <c r="M721" t="s">
        <v>79</v>
      </c>
      <c r="N721" t="s">
        <v>2247</v>
      </c>
      <c r="O721" t="s">
        <v>39</v>
      </c>
      <c r="P721" t="s">
        <v>89</v>
      </c>
      <c r="Q721" t="s">
        <v>2248</v>
      </c>
      <c r="R721">
        <v>942</v>
      </c>
    </row>
    <row r="722" spans="1:18" x14ac:dyDescent="0.3">
      <c r="A722" t="s">
        <v>3149</v>
      </c>
      <c r="B722" s="1">
        <v>43005</v>
      </c>
      <c r="C722" s="1">
        <v>43011</v>
      </c>
      <c r="D722" s="1">
        <v>42979</v>
      </c>
      <c r="E722" t="s">
        <v>43</v>
      </c>
      <c r="F722" t="s">
        <v>3150</v>
      </c>
      <c r="G722" t="s">
        <v>3151</v>
      </c>
      <c r="H722" t="s">
        <v>34</v>
      </c>
      <c r="I722" t="s">
        <v>23</v>
      </c>
      <c r="J722" t="s">
        <v>3152</v>
      </c>
      <c r="K722" t="s">
        <v>78</v>
      </c>
      <c r="L722">
        <v>77340</v>
      </c>
      <c r="M722" t="s">
        <v>79</v>
      </c>
      <c r="N722" t="s">
        <v>3153</v>
      </c>
      <c r="O722" t="s">
        <v>28</v>
      </c>
      <c r="P722" t="s">
        <v>29</v>
      </c>
      <c r="Q722" t="s">
        <v>3154</v>
      </c>
      <c r="R722">
        <v>9566648</v>
      </c>
    </row>
    <row r="723" spans="1:18" x14ac:dyDescent="0.3">
      <c r="A723" t="s">
        <v>3155</v>
      </c>
      <c r="B723" s="1">
        <v>43182</v>
      </c>
      <c r="C723" s="1">
        <v>43184</v>
      </c>
      <c r="D723" s="1">
        <v>43160</v>
      </c>
      <c r="E723" t="s">
        <v>142</v>
      </c>
      <c r="F723" t="s">
        <v>3156</v>
      </c>
      <c r="G723" t="s">
        <v>3157</v>
      </c>
      <c r="H723" t="s">
        <v>76</v>
      </c>
      <c r="I723" t="s">
        <v>23</v>
      </c>
      <c r="J723" t="s">
        <v>101</v>
      </c>
      <c r="K723" t="s">
        <v>36</v>
      </c>
      <c r="L723">
        <v>94122</v>
      </c>
      <c r="M723" t="s">
        <v>37</v>
      </c>
      <c r="N723" t="s">
        <v>3158</v>
      </c>
      <c r="O723" t="s">
        <v>28</v>
      </c>
      <c r="P723" t="s">
        <v>55</v>
      </c>
      <c r="Q723" t="s">
        <v>3159</v>
      </c>
      <c r="R723">
        <v>21184</v>
      </c>
    </row>
    <row r="724" spans="1:18" x14ac:dyDescent="0.3">
      <c r="A724" t="s">
        <v>3160</v>
      </c>
      <c r="B724" s="1">
        <v>42528</v>
      </c>
      <c r="C724" s="1">
        <v>42530</v>
      </c>
      <c r="D724" s="1">
        <v>42522</v>
      </c>
      <c r="E724" t="s">
        <v>19</v>
      </c>
      <c r="F724" t="s">
        <v>3161</v>
      </c>
      <c r="G724" t="s">
        <v>3162</v>
      </c>
      <c r="H724" t="s">
        <v>34</v>
      </c>
      <c r="I724" t="s">
        <v>23</v>
      </c>
      <c r="J724" t="s">
        <v>35</v>
      </c>
      <c r="K724" t="s">
        <v>36</v>
      </c>
      <c r="L724">
        <v>90036</v>
      </c>
      <c r="M724" t="s">
        <v>37</v>
      </c>
      <c r="N724" t="s">
        <v>2872</v>
      </c>
      <c r="O724" t="s">
        <v>39</v>
      </c>
      <c r="P724" t="s">
        <v>71</v>
      </c>
      <c r="Q724" t="s">
        <v>2873</v>
      </c>
      <c r="R724">
        <v>752</v>
      </c>
    </row>
    <row r="725" spans="1:18" x14ac:dyDescent="0.3">
      <c r="A725" t="s">
        <v>3163</v>
      </c>
      <c r="B725" s="1">
        <v>43098</v>
      </c>
      <c r="C725" s="1">
        <v>43102</v>
      </c>
      <c r="D725" s="1">
        <v>43070</v>
      </c>
      <c r="E725" t="s">
        <v>43</v>
      </c>
      <c r="F725" t="s">
        <v>1019</v>
      </c>
      <c r="G725" t="s">
        <v>1020</v>
      </c>
      <c r="H725" t="s">
        <v>22</v>
      </c>
      <c r="I725" t="s">
        <v>23</v>
      </c>
      <c r="J725" t="s">
        <v>1614</v>
      </c>
      <c r="K725" t="s">
        <v>87</v>
      </c>
      <c r="L725">
        <v>53209</v>
      </c>
      <c r="M725" t="s">
        <v>79</v>
      </c>
      <c r="N725" t="s">
        <v>3164</v>
      </c>
      <c r="O725" t="s">
        <v>28</v>
      </c>
      <c r="P725" t="s">
        <v>119</v>
      </c>
      <c r="Q725" t="s">
        <v>3165</v>
      </c>
      <c r="R725">
        <v>75445</v>
      </c>
    </row>
    <row r="726" spans="1:18" x14ac:dyDescent="0.3">
      <c r="A726" t="s">
        <v>3166</v>
      </c>
      <c r="B726" s="1">
        <v>42843</v>
      </c>
      <c r="C726" s="1">
        <v>42848</v>
      </c>
      <c r="D726" s="1">
        <v>42826</v>
      </c>
      <c r="E726" t="s">
        <v>43</v>
      </c>
      <c r="F726" t="s">
        <v>3167</v>
      </c>
      <c r="G726" t="s">
        <v>3168</v>
      </c>
      <c r="H726" t="s">
        <v>76</v>
      </c>
      <c r="I726" t="s">
        <v>23</v>
      </c>
      <c r="J726" t="s">
        <v>3169</v>
      </c>
      <c r="K726" t="s">
        <v>160</v>
      </c>
      <c r="L726">
        <v>60126</v>
      </c>
      <c r="M726" t="s">
        <v>79</v>
      </c>
      <c r="N726" t="s">
        <v>280</v>
      </c>
      <c r="O726" t="s">
        <v>39</v>
      </c>
      <c r="P726" t="s">
        <v>89</v>
      </c>
      <c r="Q726" t="s">
        <v>281</v>
      </c>
      <c r="R726">
        <v>230376</v>
      </c>
    </row>
    <row r="727" spans="1:18" x14ac:dyDescent="0.3">
      <c r="A727" t="s">
        <v>3170</v>
      </c>
      <c r="B727" s="1">
        <v>42897</v>
      </c>
      <c r="C727" s="1">
        <v>42903</v>
      </c>
      <c r="D727" s="1">
        <v>42887</v>
      </c>
      <c r="E727" t="s">
        <v>43</v>
      </c>
      <c r="F727" t="s">
        <v>559</v>
      </c>
      <c r="G727" t="s">
        <v>560</v>
      </c>
      <c r="H727" t="s">
        <v>34</v>
      </c>
      <c r="I727" t="s">
        <v>23</v>
      </c>
      <c r="J727" t="s">
        <v>1374</v>
      </c>
      <c r="K727" t="s">
        <v>78</v>
      </c>
      <c r="L727">
        <v>76017</v>
      </c>
      <c r="M727" t="s">
        <v>79</v>
      </c>
      <c r="N727" t="s">
        <v>3171</v>
      </c>
      <c r="O727" t="s">
        <v>39</v>
      </c>
      <c r="P727" t="s">
        <v>71</v>
      </c>
      <c r="Q727" t="s">
        <v>3172</v>
      </c>
      <c r="R727">
        <v>1344</v>
      </c>
    </row>
    <row r="728" spans="1:18" x14ac:dyDescent="0.3">
      <c r="A728" t="s">
        <v>3173</v>
      </c>
      <c r="B728" s="1">
        <v>43233</v>
      </c>
      <c r="C728" s="1">
        <v>43240</v>
      </c>
      <c r="D728" s="1">
        <v>43221</v>
      </c>
      <c r="E728" t="s">
        <v>43</v>
      </c>
      <c r="F728" t="s">
        <v>999</v>
      </c>
      <c r="G728" t="s">
        <v>1000</v>
      </c>
      <c r="H728" t="s">
        <v>76</v>
      </c>
      <c r="I728" t="s">
        <v>23</v>
      </c>
      <c r="J728" t="s">
        <v>101</v>
      </c>
      <c r="K728" t="s">
        <v>36</v>
      </c>
      <c r="L728">
        <v>94110</v>
      </c>
      <c r="M728" t="s">
        <v>37</v>
      </c>
      <c r="N728" t="s">
        <v>38</v>
      </c>
      <c r="O728" t="s">
        <v>39</v>
      </c>
      <c r="P728" t="s">
        <v>40</v>
      </c>
      <c r="Q728" t="s">
        <v>41</v>
      </c>
      <c r="R728">
        <v>5848</v>
      </c>
    </row>
    <row r="729" spans="1:18" x14ac:dyDescent="0.3">
      <c r="A729" t="s">
        <v>3174</v>
      </c>
      <c r="B729" s="1">
        <v>42088</v>
      </c>
      <c r="C729" s="1">
        <v>42095</v>
      </c>
      <c r="D729" s="1">
        <v>42064</v>
      </c>
      <c r="E729" t="s">
        <v>43</v>
      </c>
      <c r="F729" t="s">
        <v>3175</v>
      </c>
      <c r="G729" t="s">
        <v>3176</v>
      </c>
      <c r="H729" t="s">
        <v>22</v>
      </c>
      <c r="I729" t="s">
        <v>23</v>
      </c>
      <c r="J729" t="s">
        <v>206</v>
      </c>
      <c r="K729" t="s">
        <v>207</v>
      </c>
      <c r="L729">
        <v>10009</v>
      </c>
      <c r="M729" t="s">
        <v>117</v>
      </c>
      <c r="N729" t="s">
        <v>3177</v>
      </c>
      <c r="O729" t="s">
        <v>28</v>
      </c>
      <c r="P729" t="s">
        <v>119</v>
      </c>
      <c r="Q729" t="s">
        <v>3178</v>
      </c>
      <c r="R729">
        <v>366786</v>
      </c>
    </row>
    <row r="730" spans="1:18" x14ac:dyDescent="0.3">
      <c r="A730" t="s">
        <v>3179</v>
      </c>
      <c r="B730" s="1">
        <v>42326</v>
      </c>
      <c r="C730" s="1">
        <v>42328</v>
      </c>
      <c r="D730" s="1">
        <v>42309</v>
      </c>
      <c r="E730" t="s">
        <v>19</v>
      </c>
      <c r="F730" t="s">
        <v>3180</v>
      </c>
      <c r="G730" t="s">
        <v>3181</v>
      </c>
      <c r="H730" t="s">
        <v>22</v>
      </c>
      <c r="I730" t="s">
        <v>23</v>
      </c>
      <c r="J730" t="s">
        <v>978</v>
      </c>
      <c r="K730" t="s">
        <v>346</v>
      </c>
      <c r="L730">
        <v>80027</v>
      </c>
      <c r="M730" t="s">
        <v>37</v>
      </c>
      <c r="N730" t="s">
        <v>3182</v>
      </c>
      <c r="O730" t="s">
        <v>28</v>
      </c>
      <c r="P730" t="s">
        <v>49</v>
      </c>
      <c r="Q730" t="s">
        <v>3183</v>
      </c>
      <c r="R730">
        <v>14598</v>
      </c>
    </row>
    <row r="731" spans="1:18" x14ac:dyDescent="0.3">
      <c r="A731" t="s">
        <v>3184</v>
      </c>
      <c r="B731" s="1">
        <v>43298</v>
      </c>
      <c r="C731" s="1">
        <v>43303</v>
      </c>
      <c r="D731" s="1">
        <v>43282</v>
      </c>
      <c r="E731" t="s">
        <v>43</v>
      </c>
      <c r="F731" t="s">
        <v>2594</v>
      </c>
      <c r="G731" t="s">
        <v>2595</v>
      </c>
      <c r="H731" t="s">
        <v>22</v>
      </c>
      <c r="I731" t="s">
        <v>23</v>
      </c>
      <c r="J731" t="s">
        <v>642</v>
      </c>
      <c r="K731" t="s">
        <v>47</v>
      </c>
      <c r="L731">
        <v>33614</v>
      </c>
      <c r="M731" t="s">
        <v>26</v>
      </c>
      <c r="N731" t="s">
        <v>3185</v>
      </c>
      <c r="O731" t="s">
        <v>28</v>
      </c>
      <c r="P731" t="s">
        <v>55</v>
      </c>
      <c r="Q731" t="s">
        <v>3186</v>
      </c>
      <c r="R731">
        <v>7904</v>
      </c>
    </row>
    <row r="732" spans="1:18" x14ac:dyDescent="0.3">
      <c r="A732" t="s">
        <v>3187</v>
      </c>
      <c r="B732" s="1">
        <v>42877</v>
      </c>
      <c r="C732" s="1">
        <v>42882</v>
      </c>
      <c r="D732" s="1">
        <v>42856</v>
      </c>
      <c r="E732" t="s">
        <v>43</v>
      </c>
      <c r="F732" t="s">
        <v>3188</v>
      </c>
      <c r="G732" t="s">
        <v>3189</v>
      </c>
      <c r="H732" t="s">
        <v>22</v>
      </c>
      <c r="I732" t="s">
        <v>23</v>
      </c>
      <c r="J732" t="s">
        <v>3190</v>
      </c>
      <c r="K732" t="s">
        <v>701</v>
      </c>
      <c r="L732">
        <v>7055</v>
      </c>
      <c r="M732" t="s">
        <v>117</v>
      </c>
      <c r="N732" t="s">
        <v>799</v>
      </c>
      <c r="O732" t="s">
        <v>147</v>
      </c>
      <c r="P732" t="s">
        <v>148</v>
      </c>
      <c r="Q732" t="s">
        <v>800</v>
      </c>
      <c r="R732">
        <v>345</v>
      </c>
    </row>
    <row r="733" spans="1:18" x14ac:dyDescent="0.3">
      <c r="A733" t="s">
        <v>3191</v>
      </c>
      <c r="B733" s="1">
        <v>43039</v>
      </c>
      <c r="C733" s="1">
        <v>43045</v>
      </c>
      <c r="D733" s="1">
        <v>43009</v>
      </c>
      <c r="E733" t="s">
        <v>43</v>
      </c>
      <c r="F733" t="s">
        <v>2327</v>
      </c>
      <c r="G733" t="s">
        <v>2328</v>
      </c>
      <c r="H733" t="s">
        <v>22</v>
      </c>
      <c r="I733" t="s">
        <v>23</v>
      </c>
      <c r="J733" t="s">
        <v>115</v>
      </c>
      <c r="K733" t="s">
        <v>116</v>
      </c>
      <c r="L733">
        <v>19143</v>
      </c>
      <c r="M733" t="s">
        <v>117</v>
      </c>
      <c r="N733" t="s">
        <v>3192</v>
      </c>
      <c r="O733" t="s">
        <v>28</v>
      </c>
      <c r="P733" t="s">
        <v>119</v>
      </c>
      <c r="Q733" t="s">
        <v>3193</v>
      </c>
      <c r="R733">
        <v>492835</v>
      </c>
    </row>
    <row r="734" spans="1:18" x14ac:dyDescent="0.3">
      <c r="A734" t="s">
        <v>3194</v>
      </c>
      <c r="B734" s="1">
        <v>43044</v>
      </c>
      <c r="C734" s="1">
        <v>43049</v>
      </c>
      <c r="D734" s="1">
        <v>43040</v>
      </c>
      <c r="E734" t="s">
        <v>43</v>
      </c>
      <c r="F734" t="s">
        <v>278</v>
      </c>
      <c r="G734" t="s">
        <v>279</v>
      </c>
      <c r="H734" t="s">
        <v>76</v>
      </c>
      <c r="I734" t="s">
        <v>23</v>
      </c>
      <c r="J734" t="s">
        <v>459</v>
      </c>
      <c r="K734" t="s">
        <v>36</v>
      </c>
      <c r="L734">
        <v>95123</v>
      </c>
      <c r="M734" t="s">
        <v>37</v>
      </c>
      <c r="N734" t="s">
        <v>3195</v>
      </c>
      <c r="O734" t="s">
        <v>39</v>
      </c>
      <c r="P734" t="s">
        <v>71</v>
      </c>
      <c r="Q734" t="s">
        <v>3196</v>
      </c>
      <c r="R734">
        <v>2912</v>
      </c>
    </row>
    <row r="735" spans="1:18" x14ac:dyDescent="0.3">
      <c r="A735" t="s">
        <v>3197</v>
      </c>
      <c r="B735" s="1">
        <v>43327</v>
      </c>
      <c r="C735" s="1">
        <v>43333</v>
      </c>
      <c r="D735" s="1">
        <v>43313</v>
      </c>
      <c r="E735" t="s">
        <v>43</v>
      </c>
      <c r="F735" t="s">
        <v>2564</v>
      </c>
      <c r="G735" t="s">
        <v>2565</v>
      </c>
      <c r="H735" t="s">
        <v>22</v>
      </c>
      <c r="I735" t="s">
        <v>23</v>
      </c>
      <c r="J735" t="s">
        <v>1349</v>
      </c>
      <c r="K735" t="s">
        <v>701</v>
      </c>
      <c r="L735">
        <v>7060</v>
      </c>
      <c r="M735" t="s">
        <v>117</v>
      </c>
      <c r="N735" t="s">
        <v>3198</v>
      </c>
      <c r="O735" t="s">
        <v>39</v>
      </c>
      <c r="P735" t="s">
        <v>81</v>
      </c>
      <c r="Q735" t="s">
        <v>3199</v>
      </c>
      <c r="R735">
        <v>9784</v>
      </c>
    </row>
    <row r="736" spans="1:18" x14ac:dyDescent="0.3">
      <c r="A736" t="s">
        <v>3200</v>
      </c>
      <c r="B736" s="1">
        <v>43437</v>
      </c>
      <c r="C736" s="1">
        <v>43443</v>
      </c>
      <c r="D736" s="1">
        <v>43435</v>
      </c>
      <c r="E736" t="s">
        <v>43</v>
      </c>
      <c r="F736" t="s">
        <v>2171</v>
      </c>
      <c r="G736" t="s">
        <v>2172</v>
      </c>
      <c r="H736" t="s">
        <v>22</v>
      </c>
      <c r="I736" t="s">
        <v>23</v>
      </c>
      <c r="J736" t="s">
        <v>206</v>
      </c>
      <c r="K736" t="s">
        <v>207</v>
      </c>
      <c r="L736">
        <v>10009</v>
      </c>
      <c r="M736" t="s">
        <v>117</v>
      </c>
      <c r="N736" t="s">
        <v>1971</v>
      </c>
      <c r="O736" t="s">
        <v>39</v>
      </c>
      <c r="P736" t="s">
        <v>71</v>
      </c>
      <c r="Q736" t="s">
        <v>1972</v>
      </c>
      <c r="R736">
        <v>8392</v>
      </c>
    </row>
    <row r="737" spans="1:18" x14ac:dyDescent="0.3">
      <c r="A737" t="s">
        <v>3201</v>
      </c>
      <c r="B737" s="1">
        <v>43340</v>
      </c>
      <c r="C737" s="1">
        <v>43346</v>
      </c>
      <c r="D737" s="1">
        <v>43313</v>
      </c>
      <c r="E737" t="s">
        <v>43</v>
      </c>
      <c r="F737" t="s">
        <v>3202</v>
      </c>
      <c r="G737" t="s">
        <v>3203</v>
      </c>
      <c r="H737" t="s">
        <v>76</v>
      </c>
      <c r="I737" t="s">
        <v>23</v>
      </c>
      <c r="J737" t="s">
        <v>68</v>
      </c>
      <c r="K737" t="s">
        <v>69</v>
      </c>
      <c r="L737">
        <v>98105</v>
      </c>
      <c r="M737" t="s">
        <v>37</v>
      </c>
      <c r="N737" t="s">
        <v>3204</v>
      </c>
      <c r="O737" t="s">
        <v>147</v>
      </c>
      <c r="P737" t="s">
        <v>148</v>
      </c>
      <c r="Q737" t="s">
        <v>3205</v>
      </c>
      <c r="R737">
        <v>35168</v>
      </c>
    </row>
    <row r="738" spans="1:18" x14ac:dyDescent="0.3">
      <c r="A738" t="s">
        <v>3206</v>
      </c>
      <c r="B738" s="1">
        <v>42351</v>
      </c>
      <c r="C738" s="1">
        <v>42353</v>
      </c>
      <c r="D738" s="1">
        <v>42339</v>
      </c>
      <c r="E738" t="s">
        <v>19</v>
      </c>
      <c r="F738" t="s">
        <v>322</v>
      </c>
      <c r="G738" t="s">
        <v>323</v>
      </c>
      <c r="H738" t="s">
        <v>22</v>
      </c>
      <c r="I738" t="s">
        <v>23</v>
      </c>
      <c r="J738" t="s">
        <v>35</v>
      </c>
      <c r="K738" t="s">
        <v>36</v>
      </c>
      <c r="L738">
        <v>90049</v>
      </c>
      <c r="M738" t="s">
        <v>37</v>
      </c>
      <c r="N738" t="s">
        <v>3207</v>
      </c>
      <c r="O738" t="s">
        <v>39</v>
      </c>
      <c r="P738" t="s">
        <v>63</v>
      </c>
      <c r="Q738" t="s">
        <v>3208</v>
      </c>
      <c r="R738">
        <v>9024</v>
      </c>
    </row>
    <row r="739" spans="1:18" x14ac:dyDescent="0.3">
      <c r="A739" t="s">
        <v>3209</v>
      </c>
      <c r="B739" s="1">
        <v>42171</v>
      </c>
      <c r="C739" s="1">
        <v>42177</v>
      </c>
      <c r="D739" s="1">
        <v>42156</v>
      </c>
      <c r="E739" t="s">
        <v>43</v>
      </c>
      <c r="F739" t="s">
        <v>3210</v>
      </c>
      <c r="G739" t="s">
        <v>3211</v>
      </c>
      <c r="H739" t="s">
        <v>22</v>
      </c>
      <c r="I739" t="s">
        <v>23</v>
      </c>
      <c r="J739" t="s">
        <v>3212</v>
      </c>
      <c r="K739" t="s">
        <v>200</v>
      </c>
      <c r="L739">
        <v>46544</v>
      </c>
      <c r="M739" t="s">
        <v>79</v>
      </c>
      <c r="N739" t="s">
        <v>1041</v>
      </c>
      <c r="O739" t="s">
        <v>28</v>
      </c>
      <c r="P739" t="s">
        <v>119</v>
      </c>
      <c r="Q739" t="s">
        <v>1042</v>
      </c>
      <c r="R739">
        <v>64784</v>
      </c>
    </row>
    <row r="740" spans="1:18" x14ac:dyDescent="0.3">
      <c r="A740" t="s">
        <v>3213</v>
      </c>
      <c r="B740" s="1">
        <v>43273</v>
      </c>
      <c r="C740" s="1">
        <v>43274</v>
      </c>
      <c r="D740" s="1">
        <v>43252</v>
      </c>
      <c r="E740" t="s">
        <v>142</v>
      </c>
      <c r="F740" t="s">
        <v>3214</v>
      </c>
      <c r="G740" t="s">
        <v>3215</v>
      </c>
      <c r="H740" t="s">
        <v>22</v>
      </c>
      <c r="I740" t="s">
        <v>23</v>
      </c>
      <c r="J740" t="s">
        <v>952</v>
      </c>
      <c r="K740" t="s">
        <v>47</v>
      </c>
      <c r="L740">
        <v>33178</v>
      </c>
      <c r="M740" t="s">
        <v>26</v>
      </c>
      <c r="N740" t="s">
        <v>3216</v>
      </c>
      <c r="O740" t="s">
        <v>39</v>
      </c>
      <c r="P740" t="s">
        <v>154</v>
      </c>
      <c r="Q740" t="s">
        <v>3217</v>
      </c>
      <c r="R740">
        <v>37608</v>
      </c>
    </row>
    <row r="741" spans="1:18" x14ac:dyDescent="0.3">
      <c r="A741" t="s">
        <v>3218</v>
      </c>
      <c r="B741" s="1">
        <v>42210</v>
      </c>
      <c r="C741" s="1">
        <v>42212</v>
      </c>
      <c r="D741" s="1">
        <v>42186</v>
      </c>
      <c r="E741" t="s">
        <v>19</v>
      </c>
      <c r="F741" t="s">
        <v>812</v>
      </c>
      <c r="G741" t="s">
        <v>813</v>
      </c>
      <c r="H741" t="s">
        <v>22</v>
      </c>
      <c r="I741" t="s">
        <v>23</v>
      </c>
      <c r="J741" t="s">
        <v>101</v>
      </c>
      <c r="K741" t="s">
        <v>36</v>
      </c>
      <c r="L741">
        <v>94122</v>
      </c>
      <c r="M741" t="s">
        <v>37</v>
      </c>
      <c r="N741" t="s">
        <v>3219</v>
      </c>
      <c r="O741" t="s">
        <v>39</v>
      </c>
      <c r="P741" t="s">
        <v>89</v>
      </c>
      <c r="Q741" t="s">
        <v>3220</v>
      </c>
      <c r="R741">
        <v>5372</v>
      </c>
    </row>
    <row r="742" spans="1:18" x14ac:dyDescent="0.3">
      <c r="A742" t="s">
        <v>3221</v>
      </c>
      <c r="B742" s="1">
        <v>42553</v>
      </c>
      <c r="C742" s="1">
        <v>42553</v>
      </c>
      <c r="D742" s="1">
        <v>42552</v>
      </c>
      <c r="E742" t="s">
        <v>857</v>
      </c>
      <c r="F742" t="s">
        <v>3222</v>
      </c>
      <c r="G742" t="s">
        <v>3223</v>
      </c>
      <c r="H742" t="s">
        <v>22</v>
      </c>
      <c r="I742" t="s">
        <v>23</v>
      </c>
      <c r="J742" t="s">
        <v>138</v>
      </c>
      <c r="K742" t="s">
        <v>78</v>
      </c>
      <c r="L742">
        <v>77070</v>
      </c>
      <c r="M742" t="s">
        <v>79</v>
      </c>
      <c r="N742" t="s">
        <v>3224</v>
      </c>
      <c r="O742" t="s">
        <v>39</v>
      </c>
      <c r="P742" t="s">
        <v>81</v>
      </c>
      <c r="Q742" t="s">
        <v>3225</v>
      </c>
      <c r="R742">
        <v>32784</v>
      </c>
    </row>
    <row r="743" spans="1:18" x14ac:dyDescent="0.3">
      <c r="A743" t="s">
        <v>3226</v>
      </c>
      <c r="B743" s="1">
        <v>43057</v>
      </c>
      <c r="C743" s="1">
        <v>43062</v>
      </c>
      <c r="D743" s="1">
        <v>43040</v>
      </c>
      <c r="E743" t="s">
        <v>43</v>
      </c>
      <c r="F743" t="s">
        <v>3035</v>
      </c>
      <c r="G743" t="s">
        <v>3036</v>
      </c>
      <c r="H743" t="s">
        <v>76</v>
      </c>
      <c r="I743" t="s">
        <v>23</v>
      </c>
      <c r="J743" t="s">
        <v>2875</v>
      </c>
      <c r="K743" t="s">
        <v>474</v>
      </c>
      <c r="L743">
        <v>73120</v>
      </c>
      <c r="M743" t="s">
        <v>79</v>
      </c>
      <c r="N743" t="s">
        <v>3227</v>
      </c>
      <c r="O743" t="s">
        <v>39</v>
      </c>
      <c r="P743" t="s">
        <v>89</v>
      </c>
      <c r="Q743" t="s">
        <v>3228</v>
      </c>
      <c r="R743">
        <v>111792</v>
      </c>
    </row>
    <row r="744" spans="1:18" x14ac:dyDescent="0.3">
      <c r="A744" t="s">
        <v>3229</v>
      </c>
      <c r="B744" s="1">
        <v>42252</v>
      </c>
      <c r="C744" s="1">
        <v>42257</v>
      </c>
      <c r="D744" s="1">
        <v>42248</v>
      </c>
      <c r="E744" t="s">
        <v>43</v>
      </c>
      <c r="F744" t="s">
        <v>2118</v>
      </c>
      <c r="G744" t="s">
        <v>2119</v>
      </c>
      <c r="H744" t="s">
        <v>22</v>
      </c>
      <c r="I744" t="s">
        <v>23</v>
      </c>
      <c r="J744" t="s">
        <v>3230</v>
      </c>
      <c r="K744" t="s">
        <v>377</v>
      </c>
      <c r="L744">
        <v>43402</v>
      </c>
      <c r="M744" t="s">
        <v>117</v>
      </c>
      <c r="N744" t="s">
        <v>1346</v>
      </c>
      <c r="O744" t="s">
        <v>39</v>
      </c>
      <c r="P744" t="s">
        <v>89</v>
      </c>
      <c r="Q744" t="s">
        <v>1347</v>
      </c>
      <c r="R744">
        <v>26432</v>
      </c>
    </row>
    <row r="745" spans="1:18" x14ac:dyDescent="0.3">
      <c r="A745" t="s">
        <v>3231</v>
      </c>
      <c r="B745" s="1">
        <v>43222</v>
      </c>
      <c r="C745" s="1">
        <v>43227</v>
      </c>
      <c r="D745" s="1">
        <v>43221</v>
      </c>
      <c r="E745" t="s">
        <v>43</v>
      </c>
      <c r="F745" t="s">
        <v>413</v>
      </c>
      <c r="G745" t="s">
        <v>414</v>
      </c>
      <c r="H745" t="s">
        <v>34</v>
      </c>
      <c r="I745" t="s">
        <v>23</v>
      </c>
      <c r="J745" t="s">
        <v>3232</v>
      </c>
      <c r="K745" t="s">
        <v>701</v>
      </c>
      <c r="L745">
        <v>7090</v>
      </c>
      <c r="M745" t="s">
        <v>117</v>
      </c>
      <c r="N745" t="s">
        <v>3233</v>
      </c>
      <c r="O745" t="s">
        <v>28</v>
      </c>
      <c r="P745" t="s">
        <v>55</v>
      </c>
      <c r="Q745" t="s">
        <v>3234</v>
      </c>
      <c r="R745">
        <v>12993</v>
      </c>
    </row>
    <row r="746" spans="1:18" x14ac:dyDescent="0.3">
      <c r="A746" t="s">
        <v>3235</v>
      </c>
      <c r="B746" s="1">
        <v>42466</v>
      </c>
      <c r="C746" s="1">
        <v>42470</v>
      </c>
      <c r="D746" s="1">
        <v>42461</v>
      </c>
      <c r="E746" t="s">
        <v>43</v>
      </c>
      <c r="F746" t="s">
        <v>3236</v>
      </c>
      <c r="G746" t="s">
        <v>3237</v>
      </c>
      <c r="H746" t="s">
        <v>22</v>
      </c>
      <c r="I746" t="s">
        <v>23</v>
      </c>
      <c r="J746" t="s">
        <v>138</v>
      </c>
      <c r="K746" t="s">
        <v>78</v>
      </c>
      <c r="L746">
        <v>77041</v>
      </c>
      <c r="M746" t="s">
        <v>79</v>
      </c>
      <c r="N746" t="s">
        <v>1282</v>
      </c>
      <c r="O746" t="s">
        <v>39</v>
      </c>
      <c r="P746" t="s">
        <v>103</v>
      </c>
      <c r="Q746" t="s">
        <v>1283</v>
      </c>
      <c r="R746">
        <v>42048</v>
      </c>
    </row>
    <row r="747" spans="1:18" x14ac:dyDescent="0.3">
      <c r="A747" t="s">
        <v>3238</v>
      </c>
      <c r="B747" s="1">
        <v>42301</v>
      </c>
      <c r="C747" s="1">
        <v>42306</v>
      </c>
      <c r="D747" s="1">
        <v>42278</v>
      </c>
      <c r="E747" t="s">
        <v>43</v>
      </c>
      <c r="F747" t="s">
        <v>3239</v>
      </c>
      <c r="G747" t="s">
        <v>3240</v>
      </c>
      <c r="H747" t="s">
        <v>76</v>
      </c>
      <c r="I747" t="s">
        <v>23</v>
      </c>
      <c r="J747" t="s">
        <v>46</v>
      </c>
      <c r="K747" t="s">
        <v>47</v>
      </c>
      <c r="L747">
        <v>33311</v>
      </c>
      <c r="M747" t="s">
        <v>26</v>
      </c>
      <c r="N747" t="s">
        <v>3241</v>
      </c>
      <c r="O747" t="s">
        <v>39</v>
      </c>
      <c r="P747" t="s">
        <v>63</v>
      </c>
      <c r="Q747" t="s">
        <v>3242</v>
      </c>
      <c r="R747">
        <v>10368</v>
      </c>
    </row>
    <row r="748" spans="1:18" x14ac:dyDescent="0.3">
      <c r="A748" t="s">
        <v>3243</v>
      </c>
      <c r="B748" s="1">
        <v>42396</v>
      </c>
      <c r="C748" s="1">
        <v>42398</v>
      </c>
      <c r="D748" s="1">
        <v>42370</v>
      </c>
      <c r="E748" t="s">
        <v>19</v>
      </c>
      <c r="F748" t="s">
        <v>1447</v>
      </c>
      <c r="G748" t="s">
        <v>1448</v>
      </c>
      <c r="H748" t="s">
        <v>22</v>
      </c>
      <c r="I748" t="s">
        <v>23</v>
      </c>
      <c r="J748" t="s">
        <v>1429</v>
      </c>
      <c r="K748" t="s">
        <v>377</v>
      </c>
      <c r="L748">
        <v>44105</v>
      </c>
      <c r="M748" t="s">
        <v>117</v>
      </c>
      <c r="N748" t="s">
        <v>256</v>
      </c>
      <c r="O748" t="s">
        <v>28</v>
      </c>
      <c r="P748" t="s">
        <v>119</v>
      </c>
      <c r="Q748" t="s">
        <v>257</v>
      </c>
      <c r="R748">
        <v>181986</v>
      </c>
    </row>
    <row r="749" spans="1:18" x14ac:dyDescent="0.3">
      <c r="A749" t="s">
        <v>3244</v>
      </c>
      <c r="B749" s="1">
        <v>42567</v>
      </c>
      <c r="C749" s="1">
        <v>42567</v>
      </c>
      <c r="D749" s="1">
        <v>42552</v>
      </c>
      <c r="E749" t="s">
        <v>857</v>
      </c>
      <c r="F749" t="s">
        <v>3161</v>
      </c>
      <c r="G749" t="s">
        <v>3162</v>
      </c>
      <c r="H749" t="s">
        <v>34</v>
      </c>
      <c r="I749" t="s">
        <v>23</v>
      </c>
      <c r="J749" t="s">
        <v>101</v>
      </c>
      <c r="K749" t="s">
        <v>36</v>
      </c>
      <c r="L749">
        <v>94122</v>
      </c>
      <c r="M749" t="s">
        <v>37</v>
      </c>
      <c r="N749" t="s">
        <v>3245</v>
      </c>
      <c r="O749" t="s">
        <v>28</v>
      </c>
      <c r="P749" t="s">
        <v>119</v>
      </c>
      <c r="Q749" t="s">
        <v>3246</v>
      </c>
      <c r="R749">
        <v>1348704</v>
      </c>
    </row>
    <row r="750" spans="1:18" x14ac:dyDescent="0.3">
      <c r="A750" t="s">
        <v>3247</v>
      </c>
      <c r="B750" s="1">
        <v>42598</v>
      </c>
      <c r="C750" s="1">
        <v>42604</v>
      </c>
      <c r="D750" s="1">
        <v>42583</v>
      </c>
      <c r="E750" t="s">
        <v>43</v>
      </c>
      <c r="F750" t="s">
        <v>3248</v>
      </c>
      <c r="G750" t="s">
        <v>3249</v>
      </c>
      <c r="H750" t="s">
        <v>22</v>
      </c>
      <c r="I750" t="s">
        <v>23</v>
      </c>
      <c r="J750" t="s">
        <v>405</v>
      </c>
      <c r="K750" t="s">
        <v>232</v>
      </c>
      <c r="L750">
        <v>85023</v>
      </c>
      <c r="M750" t="s">
        <v>37</v>
      </c>
      <c r="N750" t="s">
        <v>3250</v>
      </c>
      <c r="O750" t="s">
        <v>39</v>
      </c>
      <c r="P750" t="s">
        <v>103</v>
      </c>
      <c r="Q750" t="s">
        <v>3251</v>
      </c>
      <c r="R750">
        <v>2304</v>
      </c>
    </row>
    <row r="751" spans="1:18" x14ac:dyDescent="0.3">
      <c r="A751" t="s">
        <v>3252</v>
      </c>
      <c r="B751" s="1">
        <v>42992</v>
      </c>
      <c r="C751" s="1">
        <v>42996</v>
      </c>
      <c r="D751" s="1">
        <v>42979</v>
      </c>
      <c r="E751" t="s">
        <v>43</v>
      </c>
      <c r="F751" t="s">
        <v>317</v>
      </c>
      <c r="G751" t="s">
        <v>318</v>
      </c>
      <c r="H751" t="s">
        <v>76</v>
      </c>
      <c r="I751" t="s">
        <v>23</v>
      </c>
      <c r="J751" t="s">
        <v>283</v>
      </c>
      <c r="K751" t="s">
        <v>284</v>
      </c>
      <c r="L751">
        <v>29203</v>
      </c>
      <c r="M751" t="s">
        <v>26</v>
      </c>
      <c r="N751" t="s">
        <v>1988</v>
      </c>
      <c r="O751" t="s">
        <v>39</v>
      </c>
      <c r="P751" t="s">
        <v>63</v>
      </c>
      <c r="Q751" t="s">
        <v>1989</v>
      </c>
      <c r="R751">
        <v>2592</v>
      </c>
    </row>
    <row r="752" spans="1:18" x14ac:dyDescent="0.3">
      <c r="A752" t="s">
        <v>3253</v>
      </c>
      <c r="B752" s="1">
        <v>43016</v>
      </c>
      <c r="C752" s="1">
        <v>43022</v>
      </c>
      <c r="D752" s="1">
        <v>43009</v>
      </c>
      <c r="E752" t="s">
        <v>43</v>
      </c>
      <c r="F752" t="s">
        <v>1612</v>
      </c>
      <c r="G752" t="s">
        <v>1613</v>
      </c>
      <c r="H752" t="s">
        <v>34</v>
      </c>
      <c r="I752" t="s">
        <v>23</v>
      </c>
      <c r="J752" t="s">
        <v>138</v>
      </c>
      <c r="K752" t="s">
        <v>78</v>
      </c>
      <c r="L752">
        <v>77070</v>
      </c>
      <c r="M752" t="s">
        <v>79</v>
      </c>
      <c r="N752" t="s">
        <v>3254</v>
      </c>
      <c r="O752" t="s">
        <v>28</v>
      </c>
      <c r="P752" t="s">
        <v>55</v>
      </c>
      <c r="Q752" t="s">
        <v>3255</v>
      </c>
      <c r="R752">
        <v>51712</v>
      </c>
    </row>
    <row r="753" spans="1:18" x14ac:dyDescent="0.3">
      <c r="A753" t="s">
        <v>3256</v>
      </c>
      <c r="B753" s="1">
        <v>42446</v>
      </c>
      <c r="C753" s="1">
        <v>42451</v>
      </c>
      <c r="D753" s="1">
        <v>42430</v>
      </c>
      <c r="E753" t="s">
        <v>19</v>
      </c>
      <c r="F753" t="s">
        <v>3257</v>
      </c>
      <c r="G753" t="s">
        <v>3258</v>
      </c>
      <c r="H753" t="s">
        <v>34</v>
      </c>
      <c r="I753" t="s">
        <v>23</v>
      </c>
      <c r="J753" t="s">
        <v>206</v>
      </c>
      <c r="K753" t="s">
        <v>207</v>
      </c>
      <c r="L753">
        <v>10009</v>
      </c>
      <c r="M753" t="s">
        <v>117</v>
      </c>
      <c r="N753" t="s">
        <v>3259</v>
      </c>
      <c r="O753" t="s">
        <v>147</v>
      </c>
      <c r="P753" t="s">
        <v>180</v>
      </c>
      <c r="Q753" t="s">
        <v>3260</v>
      </c>
      <c r="R753">
        <v>1502</v>
      </c>
    </row>
    <row r="754" spans="1:18" x14ac:dyDescent="0.3">
      <c r="A754" t="s">
        <v>3261</v>
      </c>
      <c r="B754" s="1">
        <v>43405</v>
      </c>
      <c r="C754" s="1">
        <v>43407</v>
      </c>
      <c r="D754" s="1">
        <v>43405</v>
      </c>
      <c r="E754" t="s">
        <v>19</v>
      </c>
      <c r="F754" t="s">
        <v>3262</v>
      </c>
      <c r="G754" t="s">
        <v>3263</v>
      </c>
      <c r="H754" t="s">
        <v>22</v>
      </c>
      <c r="I754" t="s">
        <v>23</v>
      </c>
      <c r="J754" t="s">
        <v>3264</v>
      </c>
      <c r="K754" t="s">
        <v>69</v>
      </c>
      <c r="L754">
        <v>98226</v>
      </c>
      <c r="M754" t="s">
        <v>37</v>
      </c>
      <c r="N754" t="s">
        <v>3265</v>
      </c>
      <c r="O754" t="s">
        <v>39</v>
      </c>
      <c r="P754" t="s">
        <v>71</v>
      </c>
      <c r="Q754" t="s">
        <v>3266</v>
      </c>
      <c r="R754">
        <v>2512</v>
      </c>
    </row>
    <row r="755" spans="1:18" x14ac:dyDescent="0.3">
      <c r="A755" t="s">
        <v>3267</v>
      </c>
      <c r="B755" s="1">
        <v>43461</v>
      </c>
      <c r="C755" s="1">
        <v>43461</v>
      </c>
      <c r="D755" s="1">
        <v>43435</v>
      </c>
      <c r="E755" t="s">
        <v>857</v>
      </c>
      <c r="F755" t="s">
        <v>667</v>
      </c>
      <c r="G755" t="s">
        <v>668</v>
      </c>
      <c r="H755" t="s">
        <v>34</v>
      </c>
      <c r="I755" t="s">
        <v>23</v>
      </c>
      <c r="J755" t="s">
        <v>447</v>
      </c>
      <c r="K755" t="s">
        <v>377</v>
      </c>
      <c r="L755">
        <v>43055</v>
      </c>
      <c r="M755" t="s">
        <v>117</v>
      </c>
      <c r="N755" t="s">
        <v>3268</v>
      </c>
      <c r="O755" t="s">
        <v>147</v>
      </c>
      <c r="P755" t="s">
        <v>148</v>
      </c>
      <c r="Q755" t="s">
        <v>3269</v>
      </c>
      <c r="R755">
        <v>164388</v>
      </c>
    </row>
    <row r="756" spans="1:18" x14ac:dyDescent="0.3">
      <c r="A756" t="s">
        <v>3270</v>
      </c>
      <c r="B756" s="1">
        <v>42330</v>
      </c>
      <c r="C756" s="1">
        <v>42335</v>
      </c>
      <c r="D756" s="1">
        <v>42309</v>
      </c>
      <c r="E756" t="s">
        <v>43</v>
      </c>
      <c r="F756" t="s">
        <v>164</v>
      </c>
      <c r="G756" t="s">
        <v>165</v>
      </c>
      <c r="H756" t="s">
        <v>34</v>
      </c>
      <c r="I756" t="s">
        <v>23</v>
      </c>
      <c r="J756" t="s">
        <v>376</v>
      </c>
      <c r="K756" t="s">
        <v>845</v>
      </c>
      <c r="L756">
        <v>31907</v>
      </c>
      <c r="M756" t="s">
        <v>26</v>
      </c>
      <c r="N756" t="s">
        <v>3271</v>
      </c>
      <c r="O756" t="s">
        <v>39</v>
      </c>
      <c r="P756" t="s">
        <v>154</v>
      </c>
      <c r="Q756" t="s">
        <v>3272</v>
      </c>
      <c r="R756">
        <v>1623</v>
      </c>
    </row>
    <row r="757" spans="1:18" x14ac:dyDescent="0.3">
      <c r="A757" t="s">
        <v>3273</v>
      </c>
      <c r="B757" s="1">
        <v>42030</v>
      </c>
      <c r="C757" s="1">
        <v>42035</v>
      </c>
      <c r="D757" s="1">
        <v>42005</v>
      </c>
      <c r="E757" t="s">
        <v>43</v>
      </c>
      <c r="F757" t="s">
        <v>988</v>
      </c>
      <c r="G757" t="s">
        <v>989</v>
      </c>
      <c r="H757" t="s">
        <v>76</v>
      </c>
      <c r="I757" t="s">
        <v>23</v>
      </c>
      <c r="J757" t="s">
        <v>3274</v>
      </c>
      <c r="K757" t="s">
        <v>239</v>
      </c>
      <c r="L757">
        <v>22304</v>
      </c>
      <c r="M757" t="s">
        <v>26</v>
      </c>
      <c r="N757" t="s">
        <v>3275</v>
      </c>
      <c r="O757" t="s">
        <v>28</v>
      </c>
      <c r="P757" t="s">
        <v>55</v>
      </c>
      <c r="Q757" t="s">
        <v>3276</v>
      </c>
      <c r="R757">
        <v>6282</v>
      </c>
    </row>
    <row r="758" spans="1:18" x14ac:dyDescent="0.3">
      <c r="A758" t="s">
        <v>3277</v>
      </c>
      <c r="B758" s="1">
        <v>43213</v>
      </c>
      <c r="C758" s="1">
        <v>43219</v>
      </c>
      <c r="D758" s="1">
        <v>43191</v>
      </c>
      <c r="E758" t="s">
        <v>43</v>
      </c>
      <c r="F758" t="s">
        <v>536</v>
      </c>
      <c r="G758" t="s">
        <v>537</v>
      </c>
      <c r="H758" t="s">
        <v>22</v>
      </c>
      <c r="I758" t="s">
        <v>23</v>
      </c>
      <c r="J758" t="s">
        <v>206</v>
      </c>
      <c r="K758" t="s">
        <v>207</v>
      </c>
      <c r="L758">
        <v>10024</v>
      </c>
      <c r="M758" t="s">
        <v>117</v>
      </c>
      <c r="N758" t="s">
        <v>3278</v>
      </c>
      <c r="O758" t="s">
        <v>39</v>
      </c>
      <c r="P758" t="s">
        <v>81</v>
      </c>
      <c r="Q758" t="s">
        <v>3279</v>
      </c>
      <c r="R758">
        <v>12194</v>
      </c>
    </row>
    <row r="759" spans="1:18" x14ac:dyDescent="0.3">
      <c r="A759" t="s">
        <v>3280</v>
      </c>
      <c r="B759" s="1">
        <v>42354</v>
      </c>
      <c r="C759" s="1">
        <v>42359</v>
      </c>
      <c r="D759" s="1">
        <v>42339</v>
      </c>
      <c r="E759" t="s">
        <v>43</v>
      </c>
      <c r="F759" t="s">
        <v>3281</v>
      </c>
      <c r="G759" t="s">
        <v>3282</v>
      </c>
      <c r="H759" t="s">
        <v>34</v>
      </c>
      <c r="I759" t="s">
        <v>23</v>
      </c>
      <c r="J759" t="s">
        <v>1007</v>
      </c>
      <c r="K759" t="s">
        <v>47</v>
      </c>
      <c r="L759">
        <v>32216</v>
      </c>
      <c r="M759" t="s">
        <v>26</v>
      </c>
      <c r="N759" t="s">
        <v>3283</v>
      </c>
      <c r="O759" t="s">
        <v>39</v>
      </c>
      <c r="P759" t="s">
        <v>71</v>
      </c>
      <c r="Q759" t="s">
        <v>3284</v>
      </c>
      <c r="R759">
        <v>1167</v>
      </c>
    </row>
    <row r="760" spans="1:18" x14ac:dyDescent="0.3">
      <c r="A760" t="s">
        <v>3285</v>
      </c>
      <c r="B760" s="1">
        <v>42798</v>
      </c>
      <c r="C760" s="1">
        <v>42804</v>
      </c>
      <c r="D760" s="1">
        <v>42795</v>
      </c>
      <c r="E760" t="s">
        <v>43</v>
      </c>
      <c r="F760" t="s">
        <v>2269</v>
      </c>
      <c r="G760" t="s">
        <v>2270</v>
      </c>
      <c r="H760" t="s">
        <v>76</v>
      </c>
      <c r="I760" t="s">
        <v>23</v>
      </c>
      <c r="J760" t="s">
        <v>663</v>
      </c>
      <c r="K760" t="s">
        <v>36</v>
      </c>
      <c r="L760">
        <v>92024</v>
      </c>
      <c r="M760" t="s">
        <v>37</v>
      </c>
      <c r="N760" t="s">
        <v>3286</v>
      </c>
      <c r="O760" t="s">
        <v>39</v>
      </c>
      <c r="P760" t="s">
        <v>103</v>
      </c>
      <c r="Q760" t="s">
        <v>3287</v>
      </c>
      <c r="R760">
        <v>1699</v>
      </c>
    </row>
    <row r="761" spans="1:18" x14ac:dyDescent="0.3">
      <c r="A761" t="s">
        <v>3288</v>
      </c>
      <c r="B761" s="1">
        <v>42120</v>
      </c>
      <c r="C761" s="1">
        <v>42127</v>
      </c>
      <c r="D761" s="1">
        <v>42095</v>
      </c>
      <c r="E761" t="s">
        <v>43</v>
      </c>
      <c r="F761" t="s">
        <v>3289</v>
      </c>
      <c r="G761" t="s">
        <v>3290</v>
      </c>
      <c r="H761" t="s">
        <v>34</v>
      </c>
      <c r="I761" t="s">
        <v>23</v>
      </c>
      <c r="J761" t="s">
        <v>35</v>
      </c>
      <c r="K761" t="s">
        <v>36</v>
      </c>
      <c r="L761">
        <v>90049</v>
      </c>
      <c r="M761" t="s">
        <v>37</v>
      </c>
      <c r="N761" t="s">
        <v>972</v>
      </c>
      <c r="O761" t="s">
        <v>28</v>
      </c>
      <c r="P761" t="s">
        <v>119</v>
      </c>
      <c r="Q761" t="s">
        <v>973</v>
      </c>
      <c r="R761">
        <v>23028</v>
      </c>
    </row>
    <row r="762" spans="1:18" x14ac:dyDescent="0.3">
      <c r="A762" t="s">
        <v>3291</v>
      </c>
      <c r="B762" s="1">
        <v>43395</v>
      </c>
      <c r="C762" s="1">
        <v>43397</v>
      </c>
      <c r="D762" s="1">
        <v>43374</v>
      </c>
      <c r="E762" t="s">
        <v>142</v>
      </c>
      <c r="F762" t="s">
        <v>3292</v>
      </c>
      <c r="G762" t="s">
        <v>3293</v>
      </c>
      <c r="H762" t="s">
        <v>76</v>
      </c>
      <c r="I762" t="s">
        <v>23</v>
      </c>
      <c r="J762" t="s">
        <v>206</v>
      </c>
      <c r="K762" t="s">
        <v>207</v>
      </c>
      <c r="L762">
        <v>10024</v>
      </c>
      <c r="M762" t="s">
        <v>117</v>
      </c>
      <c r="N762" t="s">
        <v>3294</v>
      </c>
      <c r="O762" t="s">
        <v>147</v>
      </c>
      <c r="P762" t="s">
        <v>1143</v>
      </c>
      <c r="Q762" t="s">
        <v>3295</v>
      </c>
      <c r="R762">
        <v>11199968</v>
      </c>
    </row>
    <row r="763" spans="1:18" x14ac:dyDescent="0.3">
      <c r="A763" t="s">
        <v>3296</v>
      </c>
      <c r="B763" s="1">
        <v>42556</v>
      </c>
      <c r="C763" s="1">
        <v>42561</v>
      </c>
      <c r="D763" s="1">
        <v>42552</v>
      </c>
      <c r="E763" t="s">
        <v>19</v>
      </c>
      <c r="F763" t="s">
        <v>2756</v>
      </c>
      <c r="G763" t="s">
        <v>2757</v>
      </c>
      <c r="H763" t="s">
        <v>34</v>
      </c>
      <c r="I763" t="s">
        <v>23</v>
      </c>
      <c r="J763" t="s">
        <v>3297</v>
      </c>
      <c r="K763" t="s">
        <v>61</v>
      </c>
      <c r="L763">
        <v>28314</v>
      </c>
      <c r="M763" t="s">
        <v>26</v>
      </c>
      <c r="N763" t="s">
        <v>3298</v>
      </c>
      <c r="O763" t="s">
        <v>28</v>
      </c>
      <c r="P763" t="s">
        <v>55</v>
      </c>
      <c r="Q763" t="s">
        <v>3299</v>
      </c>
      <c r="R763">
        <v>4928</v>
      </c>
    </row>
    <row r="764" spans="1:18" x14ac:dyDescent="0.3">
      <c r="A764" t="s">
        <v>3300</v>
      </c>
      <c r="B764" s="1">
        <v>42597</v>
      </c>
      <c r="C764" s="1">
        <v>42601</v>
      </c>
      <c r="D764" s="1">
        <v>42583</v>
      </c>
      <c r="E764" t="s">
        <v>43</v>
      </c>
      <c r="F764" t="s">
        <v>3301</v>
      </c>
      <c r="G764" t="s">
        <v>3302</v>
      </c>
      <c r="H764" t="s">
        <v>34</v>
      </c>
      <c r="I764" t="s">
        <v>23</v>
      </c>
      <c r="J764" t="s">
        <v>35</v>
      </c>
      <c r="K764" t="s">
        <v>36</v>
      </c>
      <c r="L764">
        <v>90045</v>
      </c>
      <c r="M764" t="s">
        <v>37</v>
      </c>
      <c r="N764" t="s">
        <v>1895</v>
      </c>
      <c r="O764" t="s">
        <v>39</v>
      </c>
      <c r="P764" t="s">
        <v>89</v>
      </c>
      <c r="Q764" t="s">
        <v>1896</v>
      </c>
      <c r="R764">
        <v>3231</v>
      </c>
    </row>
    <row r="765" spans="1:18" x14ac:dyDescent="0.3">
      <c r="A765" t="s">
        <v>3303</v>
      </c>
      <c r="B765" s="1">
        <v>42420</v>
      </c>
      <c r="C765" s="1">
        <v>42425</v>
      </c>
      <c r="D765" s="1">
        <v>42401</v>
      </c>
      <c r="E765" t="s">
        <v>43</v>
      </c>
      <c r="F765" t="s">
        <v>1209</v>
      </c>
      <c r="G765" t="s">
        <v>1210</v>
      </c>
      <c r="H765" t="s">
        <v>22</v>
      </c>
      <c r="I765" t="s">
        <v>23</v>
      </c>
      <c r="J765" t="s">
        <v>3304</v>
      </c>
      <c r="K765" t="s">
        <v>2023</v>
      </c>
      <c r="L765">
        <v>71901</v>
      </c>
      <c r="M765" t="s">
        <v>26</v>
      </c>
      <c r="N765" t="s">
        <v>3305</v>
      </c>
      <c r="O765" t="s">
        <v>147</v>
      </c>
      <c r="P765" t="s">
        <v>180</v>
      </c>
      <c r="Q765" t="s">
        <v>3306</v>
      </c>
      <c r="R765">
        <v>2999</v>
      </c>
    </row>
    <row r="766" spans="1:18" x14ac:dyDescent="0.3">
      <c r="A766" t="s">
        <v>3307</v>
      </c>
      <c r="B766" s="1">
        <v>42842</v>
      </c>
      <c r="C766" s="1">
        <v>42846</v>
      </c>
      <c r="D766" s="1">
        <v>42826</v>
      </c>
      <c r="E766" t="s">
        <v>19</v>
      </c>
      <c r="F766" t="s">
        <v>3308</v>
      </c>
      <c r="G766" t="s">
        <v>3309</v>
      </c>
      <c r="H766" t="s">
        <v>76</v>
      </c>
      <c r="I766" t="s">
        <v>23</v>
      </c>
      <c r="J766" t="s">
        <v>2741</v>
      </c>
      <c r="K766" t="s">
        <v>61</v>
      </c>
      <c r="L766">
        <v>27604</v>
      </c>
      <c r="M766" t="s">
        <v>26</v>
      </c>
      <c r="N766" t="s">
        <v>2250</v>
      </c>
      <c r="O766" t="s">
        <v>147</v>
      </c>
      <c r="P766" t="s">
        <v>148</v>
      </c>
      <c r="Q766" t="s">
        <v>2251</v>
      </c>
      <c r="R766">
        <v>36792</v>
      </c>
    </row>
    <row r="767" spans="1:18" x14ac:dyDescent="0.3">
      <c r="A767" t="s">
        <v>3310</v>
      </c>
      <c r="B767" s="1">
        <v>42963</v>
      </c>
      <c r="C767" s="1">
        <v>42967</v>
      </c>
      <c r="D767" s="1">
        <v>42948</v>
      </c>
      <c r="E767" t="s">
        <v>43</v>
      </c>
      <c r="F767" t="s">
        <v>84</v>
      </c>
      <c r="G767" t="s">
        <v>85</v>
      </c>
      <c r="H767" t="s">
        <v>22</v>
      </c>
      <c r="I767" t="s">
        <v>23</v>
      </c>
      <c r="J767" t="s">
        <v>101</v>
      </c>
      <c r="K767" t="s">
        <v>36</v>
      </c>
      <c r="L767">
        <v>94110</v>
      </c>
      <c r="M767" t="s">
        <v>37</v>
      </c>
      <c r="N767" t="s">
        <v>3311</v>
      </c>
      <c r="O767" t="s">
        <v>39</v>
      </c>
      <c r="P767" t="s">
        <v>154</v>
      </c>
      <c r="Q767" t="s">
        <v>3312</v>
      </c>
      <c r="R767">
        <v>1086</v>
      </c>
    </row>
    <row r="768" spans="1:18" x14ac:dyDescent="0.3">
      <c r="A768" t="s">
        <v>3313</v>
      </c>
      <c r="B768" s="1">
        <v>42856</v>
      </c>
      <c r="C768" s="1">
        <v>42859</v>
      </c>
      <c r="D768" s="1">
        <v>42856</v>
      </c>
      <c r="E768" t="s">
        <v>142</v>
      </c>
      <c r="F768" t="s">
        <v>3314</v>
      </c>
      <c r="G768" t="s">
        <v>3315</v>
      </c>
      <c r="H768" t="s">
        <v>22</v>
      </c>
      <c r="I768" t="s">
        <v>23</v>
      </c>
      <c r="J768" t="s">
        <v>254</v>
      </c>
      <c r="K768" t="s">
        <v>255</v>
      </c>
      <c r="L768">
        <v>38109</v>
      </c>
      <c r="M768" t="s">
        <v>26</v>
      </c>
      <c r="N768" t="s">
        <v>1858</v>
      </c>
      <c r="O768" t="s">
        <v>39</v>
      </c>
      <c r="P768" t="s">
        <v>40</v>
      </c>
      <c r="Q768" t="s">
        <v>1859</v>
      </c>
      <c r="R768">
        <v>3984</v>
      </c>
    </row>
    <row r="769" spans="1:18" x14ac:dyDescent="0.3">
      <c r="A769" t="s">
        <v>3316</v>
      </c>
      <c r="B769" s="1">
        <v>42607</v>
      </c>
      <c r="C769" s="1">
        <v>42612</v>
      </c>
      <c r="D769" s="1">
        <v>42583</v>
      </c>
      <c r="E769" t="s">
        <v>43</v>
      </c>
      <c r="F769" t="s">
        <v>3317</v>
      </c>
      <c r="G769" t="s">
        <v>3318</v>
      </c>
      <c r="H769" t="s">
        <v>76</v>
      </c>
      <c r="I769" t="s">
        <v>23</v>
      </c>
      <c r="J769" t="s">
        <v>35</v>
      </c>
      <c r="K769" t="s">
        <v>36</v>
      </c>
      <c r="L769">
        <v>90045</v>
      </c>
      <c r="M769" t="s">
        <v>37</v>
      </c>
      <c r="N769" t="s">
        <v>118</v>
      </c>
      <c r="O769" t="s">
        <v>28</v>
      </c>
      <c r="P769" t="s">
        <v>119</v>
      </c>
      <c r="Q769" t="s">
        <v>120</v>
      </c>
      <c r="R769">
        <v>40784</v>
      </c>
    </row>
    <row r="770" spans="1:18" x14ac:dyDescent="0.3">
      <c r="A770" t="s">
        <v>3319</v>
      </c>
      <c r="B770" s="1">
        <v>42686</v>
      </c>
      <c r="C770" s="1">
        <v>42688</v>
      </c>
      <c r="D770" s="1">
        <v>42675</v>
      </c>
      <c r="E770" t="s">
        <v>142</v>
      </c>
      <c r="F770" t="s">
        <v>1508</v>
      </c>
      <c r="G770" t="s">
        <v>1509</v>
      </c>
      <c r="H770" t="s">
        <v>34</v>
      </c>
      <c r="I770" t="s">
        <v>23</v>
      </c>
      <c r="J770" t="s">
        <v>35</v>
      </c>
      <c r="K770" t="s">
        <v>36</v>
      </c>
      <c r="L770">
        <v>90032</v>
      </c>
      <c r="M770" t="s">
        <v>37</v>
      </c>
      <c r="N770" t="s">
        <v>3320</v>
      </c>
      <c r="O770" t="s">
        <v>39</v>
      </c>
      <c r="P770" t="s">
        <v>63</v>
      </c>
      <c r="Q770" t="s">
        <v>3321</v>
      </c>
      <c r="R770">
        <v>157</v>
      </c>
    </row>
    <row r="771" spans="1:18" x14ac:dyDescent="0.3">
      <c r="A771" t="s">
        <v>3322</v>
      </c>
      <c r="B771" s="1">
        <v>43438</v>
      </c>
      <c r="C771" s="1">
        <v>43442</v>
      </c>
      <c r="D771" s="1">
        <v>43435</v>
      </c>
      <c r="E771" t="s">
        <v>43</v>
      </c>
      <c r="F771" t="s">
        <v>1965</v>
      </c>
      <c r="G771" t="s">
        <v>1966</v>
      </c>
      <c r="H771" t="s">
        <v>22</v>
      </c>
      <c r="I771" t="s">
        <v>23</v>
      </c>
      <c r="J771" t="s">
        <v>115</v>
      </c>
      <c r="K771" t="s">
        <v>116</v>
      </c>
      <c r="L771">
        <v>19134</v>
      </c>
      <c r="M771" t="s">
        <v>117</v>
      </c>
      <c r="N771" t="s">
        <v>2330</v>
      </c>
      <c r="O771" t="s">
        <v>39</v>
      </c>
      <c r="P771" t="s">
        <v>71</v>
      </c>
      <c r="Q771" t="s">
        <v>805</v>
      </c>
      <c r="R771">
        <v>5346</v>
      </c>
    </row>
    <row r="772" spans="1:18" x14ac:dyDescent="0.3">
      <c r="A772" t="s">
        <v>3323</v>
      </c>
      <c r="B772" s="1">
        <v>42975</v>
      </c>
      <c r="C772" s="1">
        <v>42980</v>
      </c>
      <c r="D772" s="1">
        <v>42948</v>
      </c>
      <c r="E772" t="s">
        <v>43</v>
      </c>
      <c r="F772" t="s">
        <v>506</v>
      </c>
      <c r="G772" t="s">
        <v>507</v>
      </c>
      <c r="H772" t="s">
        <v>22</v>
      </c>
      <c r="I772" t="s">
        <v>23</v>
      </c>
      <c r="J772" t="s">
        <v>3324</v>
      </c>
      <c r="K772" t="s">
        <v>346</v>
      </c>
      <c r="L772">
        <v>80112</v>
      </c>
      <c r="M772" t="s">
        <v>37</v>
      </c>
      <c r="N772" t="s">
        <v>3325</v>
      </c>
      <c r="O772" t="s">
        <v>39</v>
      </c>
      <c r="P772" t="s">
        <v>63</v>
      </c>
      <c r="Q772" t="s">
        <v>3326</v>
      </c>
      <c r="R772">
        <v>1548</v>
      </c>
    </row>
    <row r="773" spans="1:18" x14ac:dyDescent="0.3">
      <c r="A773" t="s">
        <v>3327</v>
      </c>
      <c r="B773" s="1">
        <v>42292</v>
      </c>
      <c r="C773" s="1">
        <v>42297</v>
      </c>
      <c r="D773" s="1">
        <v>42278</v>
      </c>
      <c r="E773" t="s">
        <v>43</v>
      </c>
      <c r="F773" t="s">
        <v>1549</v>
      </c>
      <c r="G773" t="s">
        <v>1550</v>
      </c>
      <c r="H773" t="s">
        <v>22</v>
      </c>
      <c r="I773" t="s">
        <v>23</v>
      </c>
      <c r="J773" t="s">
        <v>1474</v>
      </c>
      <c r="K773" t="s">
        <v>47</v>
      </c>
      <c r="L773">
        <v>33012</v>
      </c>
      <c r="M773" t="s">
        <v>26</v>
      </c>
      <c r="N773" t="s">
        <v>2427</v>
      </c>
      <c r="O773" t="s">
        <v>28</v>
      </c>
      <c r="P773" t="s">
        <v>55</v>
      </c>
      <c r="Q773" t="s">
        <v>3328</v>
      </c>
      <c r="R773">
        <v>15384</v>
      </c>
    </row>
    <row r="774" spans="1:18" x14ac:dyDescent="0.3">
      <c r="A774" t="s">
        <v>3329</v>
      </c>
      <c r="B774" s="1">
        <v>42081</v>
      </c>
      <c r="C774" s="1">
        <v>42086</v>
      </c>
      <c r="D774" s="1">
        <v>42064</v>
      </c>
      <c r="E774" t="s">
        <v>43</v>
      </c>
      <c r="F774" t="s">
        <v>3330</v>
      </c>
      <c r="G774" t="s">
        <v>3331</v>
      </c>
      <c r="H774" t="s">
        <v>76</v>
      </c>
      <c r="I774" t="s">
        <v>23</v>
      </c>
      <c r="J774" t="s">
        <v>1007</v>
      </c>
      <c r="K774" t="s">
        <v>47</v>
      </c>
      <c r="L774">
        <v>32216</v>
      </c>
      <c r="M774" t="s">
        <v>26</v>
      </c>
      <c r="N774" t="s">
        <v>3332</v>
      </c>
      <c r="O774" t="s">
        <v>147</v>
      </c>
      <c r="P774" t="s">
        <v>680</v>
      </c>
      <c r="Q774" t="s">
        <v>3333</v>
      </c>
      <c r="R774">
        <v>8213</v>
      </c>
    </row>
    <row r="775" spans="1:18" x14ac:dyDescent="0.3">
      <c r="A775" t="s">
        <v>3334</v>
      </c>
      <c r="B775" s="1">
        <v>42148</v>
      </c>
      <c r="C775" s="1">
        <v>42154</v>
      </c>
      <c r="D775" s="1">
        <v>42125</v>
      </c>
      <c r="E775" t="s">
        <v>43</v>
      </c>
      <c r="F775" t="s">
        <v>2704</v>
      </c>
      <c r="G775" t="s">
        <v>2705</v>
      </c>
      <c r="H775" t="s">
        <v>22</v>
      </c>
      <c r="I775" t="s">
        <v>23</v>
      </c>
      <c r="J775" t="s">
        <v>2684</v>
      </c>
      <c r="K775" t="s">
        <v>1743</v>
      </c>
      <c r="L775">
        <v>21215</v>
      </c>
      <c r="M775" t="s">
        <v>117</v>
      </c>
      <c r="N775" t="s">
        <v>3335</v>
      </c>
      <c r="O775" t="s">
        <v>39</v>
      </c>
      <c r="P775" t="s">
        <v>63</v>
      </c>
      <c r="Q775" t="s">
        <v>3336</v>
      </c>
      <c r="R775">
        <v>11628</v>
      </c>
    </row>
    <row r="776" spans="1:18" x14ac:dyDescent="0.3">
      <c r="A776" t="s">
        <v>3337</v>
      </c>
      <c r="B776" s="1">
        <v>42342</v>
      </c>
      <c r="C776" s="1">
        <v>42346</v>
      </c>
      <c r="D776" s="1">
        <v>42339</v>
      </c>
      <c r="E776" t="s">
        <v>43</v>
      </c>
      <c r="F776" t="s">
        <v>2199</v>
      </c>
      <c r="G776" t="s">
        <v>2200</v>
      </c>
      <c r="H776" t="s">
        <v>34</v>
      </c>
      <c r="I776" t="s">
        <v>23</v>
      </c>
      <c r="J776" t="s">
        <v>206</v>
      </c>
      <c r="K776" t="s">
        <v>207</v>
      </c>
      <c r="L776">
        <v>10024</v>
      </c>
      <c r="M776" t="s">
        <v>117</v>
      </c>
      <c r="N776" t="s">
        <v>3338</v>
      </c>
      <c r="O776" t="s">
        <v>147</v>
      </c>
      <c r="P776" t="s">
        <v>148</v>
      </c>
      <c r="Q776" t="s">
        <v>3339</v>
      </c>
      <c r="R776">
        <v>12998</v>
      </c>
    </row>
    <row r="777" spans="1:18" x14ac:dyDescent="0.3">
      <c r="A777" t="s">
        <v>3340</v>
      </c>
      <c r="B777" s="1">
        <v>43338</v>
      </c>
      <c r="C777" s="1">
        <v>43344</v>
      </c>
      <c r="D777" s="1">
        <v>43313</v>
      </c>
      <c r="E777" t="s">
        <v>43</v>
      </c>
      <c r="F777" t="s">
        <v>3341</v>
      </c>
      <c r="G777" t="s">
        <v>3342</v>
      </c>
      <c r="H777" t="s">
        <v>76</v>
      </c>
      <c r="I777" t="s">
        <v>23</v>
      </c>
      <c r="J777" t="s">
        <v>376</v>
      </c>
      <c r="K777" t="s">
        <v>845</v>
      </c>
      <c r="L777">
        <v>31907</v>
      </c>
      <c r="M777" t="s">
        <v>26</v>
      </c>
      <c r="N777" t="s">
        <v>967</v>
      </c>
      <c r="O777" t="s">
        <v>147</v>
      </c>
      <c r="P777" t="s">
        <v>180</v>
      </c>
      <c r="Q777" t="s">
        <v>968</v>
      </c>
      <c r="R777">
        <v>7198</v>
      </c>
    </row>
    <row r="778" spans="1:18" x14ac:dyDescent="0.3">
      <c r="A778" t="s">
        <v>3343</v>
      </c>
      <c r="B778" s="1">
        <v>42344</v>
      </c>
      <c r="C778" s="1">
        <v>42346</v>
      </c>
      <c r="D778" s="1">
        <v>42339</v>
      </c>
      <c r="E778" t="s">
        <v>19</v>
      </c>
      <c r="F778" t="s">
        <v>950</v>
      </c>
      <c r="G778" t="s">
        <v>951</v>
      </c>
      <c r="H778" t="s">
        <v>22</v>
      </c>
      <c r="I778" t="s">
        <v>23</v>
      </c>
      <c r="J778" t="s">
        <v>138</v>
      </c>
      <c r="K778" t="s">
        <v>78</v>
      </c>
      <c r="L778">
        <v>77095</v>
      </c>
      <c r="M778" t="s">
        <v>79</v>
      </c>
      <c r="N778" t="s">
        <v>1384</v>
      </c>
      <c r="O778" t="s">
        <v>28</v>
      </c>
      <c r="P778" t="s">
        <v>55</v>
      </c>
      <c r="Q778" t="s">
        <v>1385</v>
      </c>
      <c r="R778">
        <v>23976</v>
      </c>
    </row>
    <row r="779" spans="1:18" x14ac:dyDescent="0.3">
      <c r="A779" t="s">
        <v>3344</v>
      </c>
      <c r="B779" s="1">
        <v>42281</v>
      </c>
      <c r="C779" s="1">
        <v>42285</v>
      </c>
      <c r="D779" s="1">
        <v>42278</v>
      </c>
      <c r="E779" t="s">
        <v>43</v>
      </c>
      <c r="F779" t="s">
        <v>3345</v>
      </c>
      <c r="G779" t="s">
        <v>3346</v>
      </c>
      <c r="H779" t="s">
        <v>22</v>
      </c>
      <c r="I779" t="s">
        <v>23</v>
      </c>
      <c r="J779" t="s">
        <v>1339</v>
      </c>
      <c r="K779" t="s">
        <v>36</v>
      </c>
      <c r="L779">
        <v>94591</v>
      </c>
      <c r="M779" t="s">
        <v>37</v>
      </c>
      <c r="N779" t="s">
        <v>3347</v>
      </c>
      <c r="O779" t="s">
        <v>39</v>
      </c>
      <c r="P779" t="s">
        <v>40</v>
      </c>
      <c r="Q779" t="s">
        <v>3348</v>
      </c>
      <c r="R779">
        <v>1445</v>
      </c>
    </row>
    <row r="780" spans="1:18" x14ac:dyDescent="0.3">
      <c r="A780" t="s">
        <v>3349</v>
      </c>
      <c r="B780" s="1">
        <v>43144</v>
      </c>
      <c r="C780" s="1">
        <v>43150</v>
      </c>
      <c r="D780" s="1">
        <v>43132</v>
      </c>
      <c r="E780" t="s">
        <v>43</v>
      </c>
      <c r="F780" t="s">
        <v>3350</v>
      </c>
      <c r="G780" t="s">
        <v>3351</v>
      </c>
      <c r="H780" t="s">
        <v>22</v>
      </c>
      <c r="I780" t="s">
        <v>23</v>
      </c>
      <c r="J780" t="s">
        <v>68</v>
      </c>
      <c r="K780" t="s">
        <v>69</v>
      </c>
      <c r="L780">
        <v>98105</v>
      </c>
      <c r="M780" t="s">
        <v>37</v>
      </c>
      <c r="N780" t="s">
        <v>465</v>
      </c>
      <c r="O780" t="s">
        <v>39</v>
      </c>
      <c r="P780" t="s">
        <v>103</v>
      </c>
      <c r="Q780" t="s">
        <v>466</v>
      </c>
      <c r="R780">
        <v>663</v>
      </c>
    </row>
    <row r="781" spans="1:18" x14ac:dyDescent="0.3">
      <c r="A781" t="s">
        <v>3352</v>
      </c>
      <c r="B781" s="1">
        <v>42187</v>
      </c>
      <c r="C781" s="1">
        <v>42191</v>
      </c>
      <c r="D781" s="1">
        <v>42186</v>
      </c>
      <c r="E781" t="s">
        <v>43</v>
      </c>
      <c r="F781" t="s">
        <v>126</v>
      </c>
      <c r="G781" t="s">
        <v>127</v>
      </c>
      <c r="H781" t="s">
        <v>22</v>
      </c>
      <c r="I781" t="s">
        <v>23</v>
      </c>
      <c r="J781" t="s">
        <v>1349</v>
      </c>
      <c r="K781" t="s">
        <v>701</v>
      </c>
      <c r="L781">
        <v>7060</v>
      </c>
      <c r="M781" t="s">
        <v>117</v>
      </c>
      <c r="N781" t="s">
        <v>1826</v>
      </c>
      <c r="O781" t="s">
        <v>147</v>
      </c>
      <c r="P781" t="s">
        <v>148</v>
      </c>
      <c r="Q781" t="s">
        <v>1827</v>
      </c>
      <c r="R781">
        <v>7398</v>
      </c>
    </row>
    <row r="782" spans="1:18" x14ac:dyDescent="0.3">
      <c r="A782" t="s">
        <v>3353</v>
      </c>
      <c r="B782" s="1">
        <v>42421</v>
      </c>
      <c r="C782" s="1">
        <v>42423</v>
      </c>
      <c r="D782" s="1">
        <v>42401</v>
      </c>
      <c r="E782" t="s">
        <v>19</v>
      </c>
      <c r="F782" t="s">
        <v>3354</v>
      </c>
      <c r="G782" t="s">
        <v>3355</v>
      </c>
      <c r="H782" t="s">
        <v>22</v>
      </c>
      <c r="I782" t="s">
        <v>23</v>
      </c>
      <c r="J782" t="s">
        <v>3356</v>
      </c>
      <c r="K782" t="s">
        <v>491</v>
      </c>
      <c r="L782">
        <v>88001</v>
      </c>
      <c r="M782" t="s">
        <v>37</v>
      </c>
      <c r="N782" t="s">
        <v>139</v>
      </c>
      <c r="O782" t="s">
        <v>39</v>
      </c>
      <c r="P782" t="s">
        <v>63</v>
      </c>
      <c r="Q782" t="s">
        <v>140</v>
      </c>
      <c r="R782">
        <v>4912</v>
      </c>
    </row>
    <row r="783" spans="1:18" x14ac:dyDescent="0.3">
      <c r="A783" t="s">
        <v>3357</v>
      </c>
      <c r="B783" s="1">
        <v>42791</v>
      </c>
      <c r="C783" s="1">
        <v>42793</v>
      </c>
      <c r="D783" s="1">
        <v>42767</v>
      </c>
      <c r="E783" t="s">
        <v>19</v>
      </c>
      <c r="F783" t="s">
        <v>1267</v>
      </c>
      <c r="G783" t="s">
        <v>1268</v>
      </c>
      <c r="H783" t="s">
        <v>22</v>
      </c>
      <c r="I783" t="s">
        <v>23</v>
      </c>
      <c r="J783" t="s">
        <v>447</v>
      </c>
      <c r="K783" t="s">
        <v>377</v>
      </c>
      <c r="L783">
        <v>43055</v>
      </c>
      <c r="M783" t="s">
        <v>117</v>
      </c>
      <c r="N783" t="s">
        <v>3022</v>
      </c>
      <c r="O783" t="s">
        <v>39</v>
      </c>
      <c r="P783" t="s">
        <v>154</v>
      </c>
      <c r="Q783" t="s">
        <v>493</v>
      </c>
      <c r="R783">
        <v>4672</v>
      </c>
    </row>
    <row r="784" spans="1:18" x14ac:dyDescent="0.3">
      <c r="A784" t="s">
        <v>3358</v>
      </c>
      <c r="B784" s="1">
        <v>42541</v>
      </c>
      <c r="C784" s="1">
        <v>42546</v>
      </c>
      <c r="D784" s="1">
        <v>42522</v>
      </c>
      <c r="E784" t="s">
        <v>19</v>
      </c>
      <c r="F784" t="s">
        <v>2678</v>
      </c>
      <c r="G784" t="s">
        <v>2679</v>
      </c>
      <c r="H784" t="s">
        <v>34</v>
      </c>
      <c r="I784" t="s">
        <v>23</v>
      </c>
      <c r="J784" t="s">
        <v>101</v>
      </c>
      <c r="K784" t="s">
        <v>36</v>
      </c>
      <c r="L784">
        <v>94122</v>
      </c>
      <c r="M784" t="s">
        <v>37</v>
      </c>
      <c r="N784" t="s">
        <v>3359</v>
      </c>
      <c r="O784" t="s">
        <v>28</v>
      </c>
      <c r="P784" t="s">
        <v>55</v>
      </c>
      <c r="Q784" t="s">
        <v>3360</v>
      </c>
      <c r="R784">
        <v>25764</v>
      </c>
    </row>
    <row r="785" spans="1:18" x14ac:dyDescent="0.3">
      <c r="A785" t="s">
        <v>3361</v>
      </c>
      <c r="B785" s="1">
        <v>43319</v>
      </c>
      <c r="C785" s="1">
        <v>43323</v>
      </c>
      <c r="D785" s="1">
        <v>43313</v>
      </c>
      <c r="E785" t="s">
        <v>19</v>
      </c>
      <c r="F785" t="s">
        <v>3362</v>
      </c>
      <c r="G785" t="s">
        <v>3363</v>
      </c>
      <c r="H785" t="s">
        <v>22</v>
      </c>
      <c r="I785" t="s">
        <v>23</v>
      </c>
      <c r="J785" t="s">
        <v>1007</v>
      </c>
      <c r="K785" t="s">
        <v>61</v>
      </c>
      <c r="L785">
        <v>28540</v>
      </c>
      <c r="M785" t="s">
        <v>26</v>
      </c>
      <c r="N785" t="s">
        <v>3364</v>
      </c>
      <c r="O785" t="s">
        <v>147</v>
      </c>
      <c r="P785" t="s">
        <v>180</v>
      </c>
      <c r="Q785" t="s">
        <v>3365</v>
      </c>
      <c r="R785">
        <v>79992</v>
      </c>
    </row>
    <row r="786" spans="1:18" x14ac:dyDescent="0.3">
      <c r="A786" t="s">
        <v>3366</v>
      </c>
      <c r="B786" s="1">
        <v>42708</v>
      </c>
      <c r="C786" s="1">
        <v>42712</v>
      </c>
      <c r="D786" s="1">
        <v>42705</v>
      </c>
      <c r="E786" t="s">
        <v>43</v>
      </c>
      <c r="F786" t="s">
        <v>3367</v>
      </c>
      <c r="G786" t="s">
        <v>3368</v>
      </c>
      <c r="H786" t="s">
        <v>22</v>
      </c>
      <c r="I786" t="s">
        <v>23</v>
      </c>
      <c r="J786" t="s">
        <v>3369</v>
      </c>
      <c r="K786" t="s">
        <v>47</v>
      </c>
      <c r="L786">
        <v>32303</v>
      </c>
      <c r="M786" t="s">
        <v>26</v>
      </c>
      <c r="N786" t="s">
        <v>3370</v>
      </c>
      <c r="O786" t="s">
        <v>39</v>
      </c>
      <c r="P786" t="s">
        <v>71</v>
      </c>
      <c r="Q786" t="s">
        <v>3371</v>
      </c>
      <c r="R786">
        <v>8226</v>
      </c>
    </row>
    <row r="787" spans="1:18" x14ac:dyDescent="0.3">
      <c r="A787" t="s">
        <v>3372</v>
      </c>
      <c r="B787" s="1">
        <v>42163</v>
      </c>
      <c r="C787" s="1">
        <v>42169</v>
      </c>
      <c r="D787" s="1">
        <v>42156</v>
      </c>
      <c r="E787" t="s">
        <v>43</v>
      </c>
      <c r="F787" t="s">
        <v>1256</v>
      </c>
      <c r="G787" t="s">
        <v>1257</v>
      </c>
      <c r="H787" t="s">
        <v>22</v>
      </c>
      <c r="I787" t="s">
        <v>23</v>
      </c>
      <c r="J787" t="s">
        <v>68</v>
      </c>
      <c r="K787" t="s">
        <v>69</v>
      </c>
      <c r="L787">
        <v>98115</v>
      </c>
      <c r="M787" t="s">
        <v>37</v>
      </c>
      <c r="N787" t="s">
        <v>3373</v>
      </c>
      <c r="O787" t="s">
        <v>28</v>
      </c>
      <c r="P787" t="s">
        <v>119</v>
      </c>
      <c r="Q787" t="s">
        <v>3374</v>
      </c>
      <c r="R787">
        <v>585552</v>
      </c>
    </row>
    <row r="788" spans="1:18" x14ac:dyDescent="0.3">
      <c r="A788" t="s">
        <v>3375</v>
      </c>
      <c r="B788" s="1">
        <v>42477</v>
      </c>
      <c r="C788" s="1">
        <v>42481</v>
      </c>
      <c r="D788" s="1">
        <v>42461</v>
      </c>
      <c r="E788" t="s">
        <v>43</v>
      </c>
      <c r="F788" t="s">
        <v>3376</v>
      </c>
      <c r="G788" t="s">
        <v>3377</v>
      </c>
      <c r="H788" t="s">
        <v>22</v>
      </c>
      <c r="I788" t="s">
        <v>23</v>
      </c>
      <c r="J788" t="s">
        <v>101</v>
      </c>
      <c r="K788" t="s">
        <v>36</v>
      </c>
      <c r="L788">
        <v>94122</v>
      </c>
      <c r="M788" t="s">
        <v>37</v>
      </c>
      <c r="N788" t="s">
        <v>3378</v>
      </c>
      <c r="O788" t="s">
        <v>39</v>
      </c>
      <c r="P788" t="s">
        <v>103</v>
      </c>
      <c r="Q788" t="s">
        <v>3379</v>
      </c>
      <c r="R788">
        <v>556</v>
      </c>
    </row>
    <row r="789" spans="1:18" x14ac:dyDescent="0.3">
      <c r="A789" t="s">
        <v>3380</v>
      </c>
      <c r="B789" s="1">
        <v>43115</v>
      </c>
      <c r="C789" s="1">
        <v>43118</v>
      </c>
      <c r="D789" s="1">
        <v>43101</v>
      </c>
      <c r="E789" t="s">
        <v>142</v>
      </c>
      <c r="F789" t="s">
        <v>3113</v>
      </c>
      <c r="G789" t="s">
        <v>3114</v>
      </c>
      <c r="H789" t="s">
        <v>22</v>
      </c>
      <c r="I789" t="s">
        <v>23</v>
      </c>
      <c r="J789" t="s">
        <v>115</v>
      </c>
      <c r="K789" t="s">
        <v>116</v>
      </c>
      <c r="L789">
        <v>19134</v>
      </c>
      <c r="M789" t="s">
        <v>117</v>
      </c>
      <c r="N789" t="s">
        <v>3381</v>
      </c>
      <c r="O789" t="s">
        <v>39</v>
      </c>
      <c r="P789" t="s">
        <v>81</v>
      </c>
      <c r="Q789" t="s">
        <v>3382</v>
      </c>
      <c r="R789">
        <v>34384</v>
      </c>
    </row>
    <row r="790" spans="1:18" x14ac:dyDescent="0.3">
      <c r="A790" t="s">
        <v>3383</v>
      </c>
      <c r="B790" s="1">
        <v>42462</v>
      </c>
      <c r="C790" s="1">
        <v>42467</v>
      </c>
      <c r="D790" s="1">
        <v>42461</v>
      </c>
      <c r="E790" t="s">
        <v>43</v>
      </c>
      <c r="F790" t="s">
        <v>3384</v>
      </c>
      <c r="G790" t="s">
        <v>3385</v>
      </c>
      <c r="H790" t="s">
        <v>22</v>
      </c>
      <c r="I790" t="s">
        <v>23</v>
      </c>
      <c r="J790" t="s">
        <v>590</v>
      </c>
      <c r="K790" t="s">
        <v>78</v>
      </c>
      <c r="L790">
        <v>75220</v>
      </c>
      <c r="M790" t="s">
        <v>79</v>
      </c>
      <c r="N790" t="s">
        <v>3386</v>
      </c>
      <c r="O790" t="s">
        <v>39</v>
      </c>
      <c r="P790" t="s">
        <v>81</v>
      </c>
      <c r="Q790" t="s">
        <v>3387</v>
      </c>
      <c r="R790">
        <v>32192</v>
      </c>
    </row>
    <row r="791" spans="1:18" x14ac:dyDescent="0.3">
      <c r="A791" t="s">
        <v>3388</v>
      </c>
      <c r="B791" s="1">
        <v>42568</v>
      </c>
      <c r="C791" s="1">
        <v>42570</v>
      </c>
      <c r="D791" s="1">
        <v>42552</v>
      </c>
      <c r="E791" t="s">
        <v>19</v>
      </c>
      <c r="F791" t="s">
        <v>2425</v>
      </c>
      <c r="G791" t="s">
        <v>2426</v>
      </c>
      <c r="H791" t="s">
        <v>22</v>
      </c>
      <c r="I791" t="s">
        <v>23</v>
      </c>
      <c r="J791" t="s">
        <v>3389</v>
      </c>
      <c r="K791" t="s">
        <v>36</v>
      </c>
      <c r="L791">
        <v>93309</v>
      </c>
      <c r="M791" t="s">
        <v>37</v>
      </c>
      <c r="N791" t="s">
        <v>3390</v>
      </c>
      <c r="O791" t="s">
        <v>28</v>
      </c>
      <c r="P791" t="s">
        <v>29</v>
      </c>
      <c r="Q791" t="s">
        <v>3391</v>
      </c>
      <c r="R791">
        <v>195466</v>
      </c>
    </row>
    <row r="792" spans="1:18" x14ac:dyDescent="0.3">
      <c r="A792" t="s">
        <v>3392</v>
      </c>
      <c r="B792" s="1">
        <v>43017</v>
      </c>
      <c r="C792" s="1">
        <v>43023</v>
      </c>
      <c r="D792" s="1">
        <v>43009</v>
      </c>
      <c r="E792" t="s">
        <v>43</v>
      </c>
      <c r="F792" t="s">
        <v>1462</v>
      </c>
      <c r="G792" t="s">
        <v>1463</v>
      </c>
      <c r="H792" t="s">
        <v>34</v>
      </c>
      <c r="I792" t="s">
        <v>23</v>
      </c>
      <c r="J792" t="s">
        <v>214</v>
      </c>
      <c r="K792" t="s">
        <v>377</v>
      </c>
      <c r="L792">
        <v>45373</v>
      </c>
      <c r="M792" t="s">
        <v>117</v>
      </c>
      <c r="N792" t="s">
        <v>2723</v>
      </c>
      <c r="O792" t="s">
        <v>147</v>
      </c>
      <c r="P792" t="s">
        <v>148</v>
      </c>
      <c r="Q792" t="s">
        <v>2724</v>
      </c>
      <c r="R792">
        <v>23976</v>
      </c>
    </row>
    <row r="793" spans="1:18" x14ac:dyDescent="0.3">
      <c r="A793" t="s">
        <v>3393</v>
      </c>
      <c r="B793" s="1">
        <v>42106</v>
      </c>
      <c r="C793" s="1">
        <v>42111</v>
      </c>
      <c r="D793" s="1">
        <v>42095</v>
      </c>
      <c r="E793" t="s">
        <v>43</v>
      </c>
      <c r="F793" t="s">
        <v>3281</v>
      </c>
      <c r="G793" t="s">
        <v>3282</v>
      </c>
      <c r="H793" t="s">
        <v>34</v>
      </c>
      <c r="I793" t="s">
        <v>23</v>
      </c>
      <c r="J793" t="s">
        <v>3394</v>
      </c>
      <c r="K793" t="s">
        <v>36</v>
      </c>
      <c r="L793">
        <v>90278</v>
      </c>
      <c r="M793" t="s">
        <v>37</v>
      </c>
      <c r="N793" t="s">
        <v>3103</v>
      </c>
      <c r="O793" t="s">
        <v>147</v>
      </c>
      <c r="P793" t="s">
        <v>148</v>
      </c>
      <c r="Q793" t="s">
        <v>3104</v>
      </c>
      <c r="R793">
        <v>1075088</v>
      </c>
    </row>
    <row r="794" spans="1:18" x14ac:dyDescent="0.3">
      <c r="A794" t="s">
        <v>3395</v>
      </c>
      <c r="B794" s="1">
        <v>43033</v>
      </c>
      <c r="C794" s="1">
        <v>43036</v>
      </c>
      <c r="D794" s="1">
        <v>43009</v>
      </c>
      <c r="E794" t="s">
        <v>142</v>
      </c>
      <c r="F794" t="s">
        <v>1733</v>
      </c>
      <c r="G794" t="s">
        <v>1734</v>
      </c>
      <c r="H794" t="s">
        <v>34</v>
      </c>
      <c r="I794" t="s">
        <v>23</v>
      </c>
      <c r="J794" t="s">
        <v>952</v>
      </c>
      <c r="K794" t="s">
        <v>47</v>
      </c>
      <c r="L794">
        <v>33180</v>
      </c>
      <c r="M794" t="s">
        <v>26</v>
      </c>
      <c r="N794" t="s">
        <v>1181</v>
      </c>
      <c r="O794" t="s">
        <v>147</v>
      </c>
      <c r="P794" t="s">
        <v>148</v>
      </c>
      <c r="Q794" t="s">
        <v>1182</v>
      </c>
      <c r="R794">
        <v>78396</v>
      </c>
    </row>
    <row r="795" spans="1:18" x14ac:dyDescent="0.3">
      <c r="A795" t="s">
        <v>3396</v>
      </c>
      <c r="B795" s="1">
        <v>42502</v>
      </c>
      <c r="C795" s="1">
        <v>42506</v>
      </c>
      <c r="D795" s="1">
        <v>42491</v>
      </c>
      <c r="E795" t="s">
        <v>43</v>
      </c>
      <c r="F795" t="s">
        <v>3397</v>
      </c>
      <c r="G795" t="s">
        <v>3398</v>
      </c>
      <c r="H795" t="s">
        <v>22</v>
      </c>
      <c r="I795" t="s">
        <v>23</v>
      </c>
      <c r="J795" t="s">
        <v>101</v>
      </c>
      <c r="K795" t="s">
        <v>36</v>
      </c>
      <c r="L795">
        <v>94122</v>
      </c>
      <c r="M795" t="s">
        <v>37</v>
      </c>
      <c r="N795" t="s">
        <v>3399</v>
      </c>
      <c r="O795" t="s">
        <v>39</v>
      </c>
      <c r="P795" t="s">
        <v>63</v>
      </c>
      <c r="Q795" t="s">
        <v>3400</v>
      </c>
      <c r="R795">
        <v>1284</v>
      </c>
    </row>
    <row r="796" spans="1:18" x14ac:dyDescent="0.3">
      <c r="A796" t="s">
        <v>3401</v>
      </c>
      <c r="B796" s="1">
        <v>42272</v>
      </c>
      <c r="C796" s="1">
        <v>42277</v>
      </c>
      <c r="D796" s="1">
        <v>42248</v>
      </c>
      <c r="E796" t="s">
        <v>43</v>
      </c>
      <c r="F796" t="s">
        <v>1092</v>
      </c>
      <c r="G796" t="s">
        <v>1093</v>
      </c>
      <c r="H796" t="s">
        <v>76</v>
      </c>
      <c r="I796" t="s">
        <v>23</v>
      </c>
      <c r="J796" t="s">
        <v>138</v>
      </c>
      <c r="K796" t="s">
        <v>78</v>
      </c>
      <c r="L796">
        <v>77041</v>
      </c>
      <c r="M796" t="s">
        <v>79</v>
      </c>
      <c r="N796" t="s">
        <v>3402</v>
      </c>
      <c r="O796" t="s">
        <v>39</v>
      </c>
      <c r="P796" t="s">
        <v>63</v>
      </c>
      <c r="Q796" t="s">
        <v>3403</v>
      </c>
      <c r="R796">
        <v>33792</v>
      </c>
    </row>
    <row r="797" spans="1:18" x14ac:dyDescent="0.3">
      <c r="A797" t="s">
        <v>3404</v>
      </c>
      <c r="B797" s="1">
        <v>43126</v>
      </c>
      <c r="C797" s="1">
        <v>43131</v>
      </c>
      <c r="D797" s="1">
        <v>43101</v>
      </c>
      <c r="E797" t="s">
        <v>19</v>
      </c>
      <c r="F797" t="s">
        <v>3405</v>
      </c>
      <c r="G797" t="s">
        <v>3406</v>
      </c>
      <c r="H797" t="s">
        <v>34</v>
      </c>
      <c r="I797" t="s">
        <v>23</v>
      </c>
      <c r="J797" t="s">
        <v>3407</v>
      </c>
      <c r="K797" t="s">
        <v>1180</v>
      </c>
      <c r="L797">
        <v>35244</v>
      </c>
      <c r="M797" t="s">
        <v>26</v>
      </c>
      <c r="N797" t="s">
        <v>465</v>
      </c>
      <c r="O797" t="s">
        <v>39</v>
      </c>
      <c r="P797" t="s">
        <v>103</v>
      </c>
      <c r="Q797" t="s">
        <v>466</v>
      </c>
      <c r="R797">
        <v>1547</v>
      </c>
    </row>
    <row r="798" spans="1:18" x14ac:dyDescent="0.3">
      <c r="A798" t="s">
        <v>3408</v>
      </c>
      <c r="B798" s="1">
        <v>43238</v>
      </c>
      <c r="C798" s="1">
        <v>43242</v>
      </c>
      <c r="D798" s="1">
        <v>43221</v>
      </c>
      <c r="E798" t="s">
        <v>43</v>
      </c>
      <c r="F798" t="s">
        <v>52</v>
      </c>
      <c r="G798" t="s">
        <v>53</v>
      </c>
      <c r="H798" t="s">
        <v>22</v>
      </c>
      <c r="I798" t="s">
        <v>23</v>
      </c>
      <c r="J798" t="s">
        <v>115</v>
      </c>
      <c r="K798" t="s">
        <v>116</v>
      </c>
      <c r="L798">
        <v>19140</v>
      </c>
      <c r="M798" t="s">
        <v>117</v>
      </c>
      <c r="N798" t="s">
        <v>3259</v>
      </c>
      <c r="O798" t="s">
        <v>147</v>
      </c>
      <c r="P798" t="s">
        <v>180</v>
      </c>
      <c r="Q798" t="s">
        <v>3260</v>
      </c>
      <c r="R798">
        <v>36048</v>
      </c>
    </row>
    <row r="799" spans="1:18" x14ac:dyDescent="0.3">
      <c r="A799" t="s">
        <v>3409</v>
      </c>
      <c r="B799" s="1">
        <v>43096</v>
      </c>
      <c r="C799" s="1">
        <v>43100</v>
      </c>
      <c r="D799" s="1">
        <v>43070</v>
      </c>
      <c r="E799" t="s">
        <v>43</v>
      </c>
      <c r="F799" t="s">
        <v>3410</v>
      </c>
      <c r="G799" t="s">
        <v>3411</v>
      </c>
      <c r="H799" t="s">
        <v>34</v>
      </c>
      <c r="I799" t="s">
        <v>23</v>
      </c>
      <c r="J799" t="s">
        <v>3412</v>
      </c>
      <c r="K799" t="s">
        <v>160</v>
      </c>
      <c r="L799">
        <v>60098</v>
      </c>
      <c r="M799" t="s">
        <v>79</v>
      </c>
      <c r="N799" t="s">
        <v>1317</v>
      </c>
      <c r="O799" t="s">
        <v>28</v>
      </c>
      <c r="P799" t="s">
        <v>119</v>
      </c>
      <c r="Q799" t="s">
        <v>1318</v>
      </c>
      <c r="R799">
        <v>845488</v>
      </c>
    </row>
    <row r="800" spans="1:18" x14ac:dyDescent="0.3">
      <c r="A800" t="s">
        <v>3413</v>
      </c>
      <c r="B800" s="1">
        <v>43198</v>
      </c>
      <c r="C800" s="1">
        <v>43205</v>
      </c>
      <c r="D800" s="1">
        <v>43191</v>
      </c>
      <c r="E800" t="s">
        <v>43</v>
      </c>
      <c r="F800" t="s">
        <v>3414</v>
      </c>
      <c r="G800" t="s">
        <v>3415</v>
      </c>
      <c r="H800" t="s">
        <v>34</v>
      </c>
      <c r="I800" t="s">
        <v>23</v>
      </c>
      <c r="J800" t="s">
        <v>2018</v>
      </c>
      <c r="K800" t="s">
        <v>845</v>
      </c>
      <c r="L800">
        <v>30076</v>
      </c>
      <c r="M800" t="s">
        <v>26</v>
      </c>
      <c r="N800" t="s">
        <v>3416</v>
      </c>
      <c r="O800" t="s">
        <v>28</v>
      </c>
      <c r="P800" t="s">
        <v>55</v>
      </c>
      <c r="Q800" t="s">
        <v>3417</v>
      </c>
      <c r="R800">
        <v>5628</v>
      </c>
    </row>
    <row r="801" spans="1:18" x14ac:dyDescent="0.3">
      <c r="A801" t="s">
        <v>3418</v>
      </c>
      <c r="B801" s="1">
        <v>42888</v>
      </c>
      <c r="C801" s="1">
        <v>42891</v>
      </c>
      <c r="D801" s="1">
        <v>42887</v>
      </c>
      <c r="E801" t="s">
        <v>142</v>
      </c>
      <c r="F801" t="s">
        <v>1805</v>
      </c>
      <c r="G801" t="s">
        <v>1806</v>
      </c>
      <c r="H801" t="s">
        <v>34</v>
      </c>
      <c r="I801" t="s">
        <v>23</v>
      </c>
      <c r="J801" t="s">
        <v>115</v>
      </c>
      <c r="K801" t="s">
        <v>116</v>
      </c>
      <c r="L801">
        <v>19120</v>
      </c>
      <c r="M801" t="s">
        <v>117</v>
      </c>
      <c r="N801" t="s">
        <v>1486</v>
      </c>
      <c r="O801" t="s">
        <v>39</v>
      </c>
      <c r="P801" t="s">
        <v>89</v>
      </c>
      <c r="Q801" t="s">
        <v>1487</v>
      </c>
      <c r="R801">
        <v>64784</v>
      </c>
    </row>
    <row r="802" spans="1:18" x14ac:dyDescent="0.3">
      <c r="A802" t="s">
        <v>3419</v>
      </c>
      <c r="B802" s="1">
        <v>43306</v>
      </c>
      <c r="C802" s="1">
        <v>43312</v>
      </c>
      <c r="D802" s="1">
        <v>43282</v>
      </c>
      <c r="E802" t="s">
        <v>43</v>
      </c>
      <c r="F802" t="s">
        <v>1024</v>
      </c>
      <c r="G802" t="s">
        <v>1025</v>
      </c>
      <c r="H802" t="s">
        <v>22</v>
      </c>
      <c r="I802" t="s">
        <v>23</v>
      </c>
      <c r="J802" t="s">
        <v>3420</v>
      </c>
      <c r="K802" t="s">
        <v>3421</v>
      </c>
      <c r="L802">
        <v>57103</v>
      </c>
      <c r="M802" t="s">
        <v>79</v>
      </c>
      <c r="N802" t="s">
        <v>3422</v>
      </c>
      <c r="O802" t="s">
        <v>39</v>
      </c>
      <c r="P802" t="s">
        <v>40</v>
      </c>
      <c r="Q802" t="s">
        <v>3423</v>
      </c>
      <c r="R802">
        <v>2023</v>
      </c>
    </row>
    <row r="803" spans="1:18" x14ac:dyDescent="0.3">
      <c r="A803" t="s">
        <v>3424</v>
      </c>
      <c r="B803" s="1">
        <v>43324</v>
      </c>
      <c r="C803" s="1">
        <v>43329</v>
      </c>
      <c r="D803" s="1">
        <v>43313</v>
      </c>
      <c r="E803" t="s">
        <v>43</v>
      </c>
      <c r="F803" t="s">
        <v>1576</v>
      </c>
      <c r="G803" t="s">
        <v>1577</v>
      </c>
      <c r="H803" t="s">
        <v>22</v>
      </c>
      <c r="I803" t="s">
        <v>23</v>
      </c>
      <c r="J803" t="s">
        <v>3425</v>
      </c>
      <c r="K803" t="s">
        <v>47</v>
      </c>
      <c r="L803">
        <v>32839</v>
      </c>
      <c r="M803" t="s">
        <v>26</v>
      </c>
      <c r="N803" t="s">
        <v>3426</v>
      </c>
      <c r="O803" t="s">
        <v>39</v>
      </c>
      <c r="P803" t="s">
        <v>63</v>
      </c>
      <c r="Q803" t="s">
        <v>3427</v>
      </c>
      <c r="R803">
        <v>20736</v>
      </c>
    </row>
    <row r="804" spans="1:18" x14ac:dyDescent="0.3">
      <c r="A804" t="s">
        <v>3428</v>
      </c>
      <c r="B804" s="1">
        <v>43325</v>
      </c>
      <c r="C804" s="1">
        <v>43325</v>
      </c>
      <c r="D804" s="1">
        <v>43313</v>
      </c>
      <c r="E804" t="s">
        <v>857</v>
      </c>
      <c r="F804" t="s">
        <v>1431</v>
      </c>
      <c r="G804" t="s">
        <v>1432</v>
      </c>
      <c r="H804" t="s">
        <v>22</v>
      </c>
      <c r="I804" t="s">
        <v>23</v>
      </c>
      <c r="J804" t="s">
        <v>101</v>
      </c>
      <c r="K804" t="s">
        <v>36</v>
      </c>
      <c r="L804">
        <v>94122</v>
      </c>
      <c r="M804" t="s">
        <v>37</v>
      </c>
      <c r="N804" t="s">
        <v>1187</v>
      </c>
      <c r="O804" t="s">
        <v>39</v>
      </c>
      <c r="P804" t="s">
        <v>89</v>
      </c>
      <c r="Q804" t="s">
        <v>1188</v>
      </c>
      <c r="R804">
        <v>3144</v>
      </c>
    </row>
    <row r="805" spans="1:18" x14ac:dyDescent="0.3">
      <c r="A805" t="s">
        <v>3429</v>
      </c>
      <c r="B805" s="1">
        <v>42756</v>
      </c>
      <c r="C805" s="1">
        <v>42758</v>
      </c>
      <c r="D805" s="1">
        <v>42736</v>
      </c>
      <c r="E805" t="s">
        <v>19</v>
      </c>
      <c r="F805" t="s">
        <v>826</v>
      </c>
      <c r="G805" t="s">
        <v>827</v>
      </c>
      <c r="H805" t="s">
        <v>22</v>
      </c>
      <c r="I805" t="s">
        <v>23</v>
      </c>
      <c r="J805" t="s">
        <v>663</v>
      </c>
      <c r="K805" t="s">
        <v>36</v>
      </c>
      <c r="L805">
        <v>92037</v>
      </c>
      <c r="M805" t="s">
        <v>37</v>
      </c>
      <c r="N805" t="s">
        <v>2960</v>
      </c>
      <c r="O805" t="s">
        <v>28</v>
      </c>
      <c r="P805" t="s">
        <v>119</v>
      </c>
      <c r="Q805" t="s">
        <v>2961</v>
      </c>
      <c r="R805">
        <v>153568</v>
      </c>
    </row>
    <row r="806" spans="1:18" x14ac:dyDescent="0.3">
      <c r="A806" t="s">
        <v>3430</v>
      </c>
      <c r="B806" s="1">
        <v>42750</v>
      </c>
      <c r="C806" s="1">
        <v>42754</v>
      </c>
      <c r="D806" s="1">
        <v>42736</v>
      </c>
      <c r="E806" t="s">
        <v>43</v>
      </c>
      <c r="F806" t="s">
        <v>3431</v>
      </c>
      <c r="G806" t="s">
        <v>3432</v>
      </c>
      <c r="H806" t="s">
        <v>76</v>
      </c>
      <c r="I806" t="s">
        <v>23</v>
      </c>
      <c r="J806" t="s">
        <v>3232</v>
      </c>
      <c r="K806" t="s">
        <v>701</v>
      </c>
      <c r="L806">
        <v>7090</v>
      </c>
      <c r="M806" t="s">
        <v>117</v>
      </c>
      <c r="N806" t="s">
        <v>3433</v>
      </c>
      <c r="O806" t="s">
        <v>39</v>
      </c>
      <c r="P806" t="s">
        <v>154</v>
      </c>
      <c r="Q806" t="s">
        <v>3434</v>
      </c>
      <c r="R806">
        <v>5234</v>
      </c>
    </row>
    <row r="807" spans="1:18" x14ac:dyDescent="0.3">
      <c r="A807" t="s">
        <v>3435</v>
      </c>
      <c r="B807" s="1">
        <v>42056</v>
      </c>
      <c r="C807" s="1">
        <v>42060</v>
      </c>
      <c r="D807" s="1">
        <v>42036</v>
      </c>
      <c r="E807" t="s">
        <v>43</v>
      </c>
      <c r="F807" t="s">
        <v>3436</v>
      </c>
      <c r="G807" t="s">
        <v>3437</v>
      </c>
      <c r="H807" t="s">
        <v>22</v>
      </c>
      <c r="I807" t="s">
        <v>23</v>
      </c>
      <c r="J807" t="s">
        <v>3412</v>
      </c>
      <c r="K807" t="s">
        <v>160</v>
      </c>
      <c r="L807">
        <v>60098</v>
      </c>
      <c r="M807" t="s">
        <v>79</v>
      </c>
      <c r="N807" t="s">
        <v>2956</v>
      </c>
      <c r="O807" t="s">
        <v>39</v>
      </c>
      <c r="P807" t="s">
        <v>71</v>
      </c>
      <c r="Q807" t="s">
        <v>2957</v>
      </c>
      <c r="R807">
        <v>885</v>
      </c>
    </row>
    <row r="808" spans="1:18" x14ac:dyDescent="0.3">
      <c r="A808" t="s">
        <v>3438</v>
      </c>
      <c r="B808" s="1">
        <v>42765</v>
      </c>
      <c r="C808" s="1">
        <v>42769</v>
      </c>
      <c r="D808" s="1">
        <v>42736</v>
      </c>
      <c r="E808" t="s">
        <v>43</v>
      </c>
      <c r="F808" t="s">
        <v>2444</v>
      </c>
      <c r="G808" t="s">
        <v>2445</v>
      </c>
      <c r="H808" t="s">
        <v>22</v>
      </c>
      <c r="I808" t="s">
        <v>23</v>
      </c>
      <c r="J808" t="s">
        <v>101</v>
      </c>
      <c r="K808" t="s">
        <v>36</v>
      </c>
      <c r="L808">
        <v>94122</v>
      </c>
      <c r="M808" t="s">
        <v>37</v>
      </c>
      <c r="N808" t="s">
        <v>1568</v>
      </c>
      <c r="O808" t="s">
        <v>39</v>
      </c>
      <c r="P808" t="s">
        <v>71</v>
      </c>
      <c r="Q808" t="s">
        <v>1569</v>
      </c>
      <c r="R808">
        <v>17456</v>
      </c>
    </row>
    <row r="809" spans="1:18" x14ac:dyDescent="0.3">
      <c r="A809" t="s">
        <v>3439</v>
      </c>
      <c r="B809" s="1">
        <v>43026</v>
      </c>
      <c r="C809" s="1">
        <v>43030</v>
      </c>
      <c r="D809" s="1">
        <v>43009</v>
      </c>
      <c r="E809" t="s">
        <v>43</v>
      </c>
      <c r="F809" t="s">
        <v>1190</v>
      </c>
      <c r="G809" t="s">
        <v>1191</v>
      </c>
      <c r="H809" t="s">
        <v>22</v>
      </c>
      <c r="I809" t="s">
        <v>23</v>
      </c>
      <c r="J809" t="s">
        <v>2446</v>
      </c>
      <c r="K809" t="s">
        <v>232</v>
      </c>
      <c r="L809">
        <v>85281</v>
      </c>
      <c r="M809" t="s">
        <v>37</v>
      </c>
      <c r="N809" t="s">
        <v>1016</v>
      </c>
      <c r="O809" t="s">
        <v>28</v>
      </c>
      <c r="P809" t="s">
        <v>119</v>
      </c>
      <c r="Q809" t="s">
        <v>1017</v>
      </c>
      <c r="R809">
        <v>30792</v>
      </c>
    </row>
    <row r="810" spans="1:18" x14ac:dyDescent="0.3">
      <c r="A810" t="s">
        <v>3440</v>
      </c>
      <c r="B810" s="1">
        <v>43406</v>
      </c>
      <c r="C810" s="1">
        <v>43410</v>
      </c>
      <c r="D810" s="1">
        <v>43405</v>
      </c>
      <c r="E810" t="s">
        <v>43</v>
      </c>
      <c r="F810" t="s">
        <v>994</v>
      </c>
      <c r="G810" t="s">
        <v>995</v>
      </c>
      <c r="H810" t="s">
        <v>34</v>
      </c>
      <c r="I810" t="s">
        <v>23</v>
      </c>
      <c r="J810" t="s">
        <v>68</v>
      </c>
      <c r="K810" t="s">
        <v>69</v>
      </c>
      <c r="L810">
        <v>98105</v>
      </c>
      <c r="M810" t="s">
        <v>37</v>
      </c>
      <c r="N810" t="s">
        <v>3441</v>
      </c>
      <c r="O810" t="s">
        <v>39</v>
      </c>
      <c r="P810" t="s">
        <v>63</v>
      </c>
      <c r="Q810" t="s">
        <v>3442</v>
      </c>
      <c r="R810">
        <v>2385</v>
      </c>
    </row>
    <row r="811" spans="1:18" x14ac:dyDescent="0.3">
      <c r="A811" t="s">
        <v>3443</v>
      </c>
      <c r="B811" s="1">
        <v>42093</v>
      </c>
      <c r="C811" s="1">
        <v>42097</v>
      </c>
      <c r="D811" s="1">
        <v>42064</v>
      </c>
      <c r="E811" t="s">
        <v>43</v>
      </c>
      <c r="F811" t="s">
        <v>218</v>
      </c>
      <c r="G811" t="s">
        <v>219</v>
      </c>
      <c r="H811" t="s">
        <v>22</v>
      </c>
      <c r="I811" t="s">
        <v>23</v>
      </c>
      <c r="J811" t="s">
        <v>1252</v>
      </c>
      <c r="K811" t="s">
        <v>207</v>
      </c>
      <c r="L811">
        <v>11561</v>
      </c>
      <c r="M811" t="s">
        <v>117</v>
      </c>
      <c r="N811" t="s">
        <v>3444</v>
      </c>
      <c r="O811" t="s">
        <v>39</v>
      </c>
      <c r="P811" t="s">
        <v>103</v>
      </c>
      <c r="Q811" t="s">
        <v>3445</v>
      </c>
      <c r="R811">
        <v>4965</v>
      </c>
    </row>
    <row r="812" spans="1:18" x14ac:dyDescent="0.3">
      <c r="A812" t="s">
        <v>3446</v>
      </c>
      <c r="B812" s="1">
        <v>42739</v>
      </c>
      <c r="C812" s="1">
        <v>42744</v>
      </c>
      <c r="D812" s="1">
        <v>42736</v>
      </c>
      <c r="E812" t="s">
        <v>43</v>
      </c>
      <c r="F812" t="s">
        <v>3447</v>
      </c>
      <c r="G812" t="s">
        <v>3448</v>
      </c>
      <c r="H812" t="s">
        <v>34</v>
      </c>
      <c r="I812" t="s">
        <v>23</v>
      </c>
      <c r="J812" t="s">
        <v>352</v>
      </c>
      <c r="K812" t="s">
        <v>61</v>
      </c>
      <c r="L812">
        <v>28205</v>
      </c>
      <c r="M812" t="s">
        <v>26</v>
      </c>
      <c r="N812" t="s">
        <v>3449</v>
      </c>
      <c r="O812" t="s">
        <v>147</v>
      </c>
      <c r="P812" t="s">
        <v>1143</v>
      </c>
      <c r="Q812" t="s">
        <v>3450</v>
      </c>
      <c r="R812">
        <v>959968</v>
      </c>
    </row>
    <row r="813" spans="1:18" x14ac:dyDescent="0.3">
      <c r="A813" t="s">
        <v>3451</v>
      </c>
      <c r="B813" s="1">
        <v>42625</v>
      </c>
      <c r="C813" s="1">
        <v>42630</v>
      </c>
      <c r="D813" s="1">
        <v>42614</v>
      </c>
      <c r="E813" t="s">
        <v>43</v>
      </c>
      <c r="F813" t="s">
        <v>288</v>
      </c>
      <c r="G813" t="s">
        <v>289</v>
      </c>
      <c r="H813" t="s">
        <v>22</v>
      </c>
      <c r="I813" t="s">
        <v>23</v>
      </c>
      <c r="J813" t="s">
        <v>206</v>
      </c>
      <c r="K813" t="s">
        <v>207</v>
      </c>
      <c r="L813">
        <v>10035</v>
      </c>
      <c r="M813" t="s">
        <v>117</v>
      </c>
      <c r="N813" t="s">
        <v>3449</v>
      </c>
      <c r="O813" t="s">
        <v>147</v>
      </c>
      <c r="P813" t="s">
        <v>1143</v>
      </c>
      <c r="Q813" t="s">
        <v>3450</v>
      </c>
      <c r="R813">
        <v>479984</v>
      </c>
    </row>
    <row r="814" spans="1:18" x14ac:dyDescent="0.3">
      <c r="A814" t="s">
        <v>3452</v>
      </c>
      <c r="B814" s="1">
        <v>42913</v>
      </c>
      <c r="C814" s="1">
        <v>42917</v>
      </c>
      <c r="D814" s="1">
        <v>42887</v>
      </c>
      <c r="E814" t="s">
        <v>43</v>
      </c>
      <c r="F814" t="s">
        <v>3453</v>
      </c>
      <c r="G814" t="s">
        <v>3454</v>
      </c>
      <c r="H814" t="s">
        <v>34</v>
      </c>
      <c r="I814" t="s">
        <v>23</v>
      </c>
      <c r="J814" t="s">
        <v>3455</v>
      </c>
      <c r="K814" t="s">
        <v>160</v>
      </c>
      <c r="L814">
        <v>60035</v>
      </c>
      <c r="M814" t="s">
        <v>79</v>
      </c>
      <c r="N814" t="s">
        <v>3456</v>
      </c>
      <c r="O814" t="s">
        <v>39</v>
      </c>
      <c r="P814" t="s">
        <v>63</v>
      </c>
      <c r="Q814" t="s">
        <v>3457</v>
      </c>
      <c r="R814">
        <v>37464</v>
      </c>
    </row>
    <row r="815" spans="1:18" x14ac:dyDescent="0.3">
      <c r="A815" t="s">
        <v>3458</v>
      </c>
      <c r="B815" s="1">
        <v>43062</v>
      </c>
      <c r="C815" s="1">
        <v>43062</v>
      </c>
      <c r="D815" s="1">
        <v>43040</v>
      </c>
      <c r="E815" t="s">
        <v>857</v>
      </c>
      <c r="F815" t="s">
        <v>3459</v>
      </c>
      <c r="G815" t="s">
        <v>3460</v>
      </c>
      <c r="H815" t="s">
        <v>34</v>
      </c>
      <c r="I815" t="s">
        <v>23</v>
      </c>
      <c r="J815" t="s">
        <v>115</v>
      </c>
      <c r="K815" t="s">
        <v>116</v>
      </c>
      <c r="L815">
        <v>19140</v>
      </c>
      <c r="M815" t="s">
        <v>117</v>
      </c>
      <c r="N815" t="s">
        <v>3461</v>
      </c>
      <c r="O815" t="s">
        <v>39</v>
      </c>
      <c r="P815" t="s">
        <v>209</v>
      </c>
      <c r="Q815" t="s">
        <v>3462</v>
      </c>
      <c r="R815">
        <v>158</v>
      </c>
    </row>
    <row r="816" spans="1:18" x14ac:dyDescent="0.3">
      <c r="A816" t="s">
        <v>3463</v>
      </c>
      <c r="B816" s="1">
        <v>42249</v>
      </c>
      <c r="C816" s="1">
        <v>42252</v>
      </c>
      <c r="D816" s="1">
        <v>42248</v>
      </c>
      <c r="E816" t="s">
        <v>142</v>
      </c>
      <c r="F816" t="s">
        <v>3464</v>
      </c>
      <c r="G816" t="s">
        <v>3465</v>
      </c>
      <c r="H816" t="s">
        <v>22</v>
      </c>
      <c r="I816" t="s">
        <v>23</v>
      </c>
      <c r="J816" t="s">
        <v>2471</v>
      </c>
      <c r="K816" t="s">
        <v>207</v>
      </c>
      <c r="L816">
        <v>13601</v>
      </c>
      <c r="M816" t="s">
        <v>117</v>
      </c>
      <c r="N816" t="s">
        <v>3466</v>
      </c>
      <c r="O816" t="s">
        <v>39</v>
      </c>
      <c r="P816" t="s">
        <v>81</v>
      </c>
      <c r="Q816" t="s">
        <v>3467</v>
      </c>
      <c r="R816">
        <v>199</v>
      </c>
    </row>
    <row r="817" spans="1:18" x14ac:dyDescent="0.3">
      <c r="A817" t="s">
        <v>3468</v>
      </c>
      <c r="B817" s="1">
        <v>43291</v>
      </c>
      <c r="C817" s="1">
        <v>43295</v>
      </c>
      <c r="D817" s="1">
        <v>43282</v>
      </c>
      <c r="E817" t="s">
        <v>19</v>
      </c>
      <c r="F817" t="s">
        <v>3469</v>
      </c>
      <c r="G817" t="s">
        <v>3470</v>
      </c>
      <c r="H817" t="s">
        <v>22</v>
      </c>
      <c r="I817" t="s">
        <v>23</v>
      </c>
      <c r="J817" t="s">
        <v>376</v>
      </c>
      <c r="K817" t="s">
        <v>845</v>
      </c>
      <c r="L817">
        <v>31907</v>
      </c>
      <c r="M817" t="s">
        <v>26</v>
      </c>
      <c r="N817" t="s">
        <v>3471</v>
      </c>
      <c r="O817" t="s">
        <v>28</v>
      </c>
      <c r="P817" t="s">
        <v>55</v>
      </c>
      <c r="Q817" t="s">
        <v>3472</v>
      </c>
      <c r="R817">
        <v>1884</v>
      </c>
    </row>
    <row r="818" spans="1:18" x14ac:dyDescent="0.3">
      <c r="A818" t="s">
        <v>3473</v>
      </c>
      <c r="B818" s="1">
        <v>42590</v>
      </c>
      <c r="C818" s="1">
        <v>42590</v>
      </c>
      <c r="D818" s="1">
        <v>42583</v>
      </c>
      <c r="E818" t="s">
        <v>857</v>
      </c>
      <c r="F818" t="s">
        <v>3236</v>
      </c>
      <c r="G818" t="s">
        <v>3237</v>
      </c>
      <c r="H818" t="s">
        <v>22</v>
      </c>
      <c r="I818" t="s">
        <v>23</v>
      </c>
      <c r="J818" t="s">
        <v>101</v>
      </c>
      <c r="K818" t="s">
        <v>36</v>
      </c>
      <c r="L818">
        <v>94109</v>
      </c>
      <c r="M818" t="s">
        <v>37</v>
      </c>
      <c r="N818" t="s">
        <v>2886</v>
      </c>
      <c r="O818" t="s">
        <v>39</v>
      </c>
      <c r="P818" t="s">
        <v>71</v>
      </c>
      <c r="Q818" t="s">
        <v>2887</v>
      </c>
      <c r="R818">
        <v>6608</v>
      </c>
    </row>
    <row r="819" spans="1:18" x14ac:dyDescent="0.3">
      <c r="A819" t="s">
        <v>3474</v>
      </c>
      <c r="B819" s="1">
        <v>43448</v>
      </c>
      <c r="C819" s="1">
        <v>43452</v>
      </c>
      <c r="D819" s="1">
        <v>43435</v>
      </c>
      <c r="E819" t="s">
        <v>43</v>
      </c>
      <c r="F819" t="s">
        <v>2450</v>
      </c>
      <c r="G819" t="s">
        <v>2451</v>
      </c>
      <c r="H819" t="s">
        <v>76</v>
      </c>
      <c r="I819" t="s">
        <v>23</v>
      </c>
      <c r="J819" t="s">
        <v>663</v>
      </c>
      <c r="K819" t="s">
        <v>36</v>
      </c>
      <c r="L819">
        <v>92024</v>
      </c>
      <c r="M819" t="s">
        <v>37</v>
      </c>
      <c r="N819" t="s">
        <v>3475</v>
      </c>
      <c r="O819" t="s">
        <v>28</v>
      </c>
      <c r="P819" t="s">
        <v>55</v>
      </c>
      <c r="Q819" t="s">
        <v>3476</v>
      </c>
      <c r="R819">
        <v>2625</v>
      </c>
    </row>
    <row r="820" spans="1:18" x14ac:dyDescent="0.3">
      <c r="A820" t="s">
        <v>3477</v>
      </c>
      <c r="B820" s="1">
        <v>43278</v>
      </c>
      <c r="C820" s="1">
        <v>43285</v>
      </c>
      <c r="D820" s="1">
        <v>43252</v>
      </c>
      <c r="E820" t="s">
        <v>43</v>
      </c>
      <c r="F820" t="s">
        <v>3478</v>
      </c>
      <c r="G820" t="s">
        <v>3479</v>
      </c>
      <c r="H820" t="s">
        <v>76</v>
      </c>
      <c r="I820" t="s">
        <v>23</v>
      </c>
      <c r="J820" t="s">
        <v>2471</v>
      </c>
      <c r="K820" t="s">
        <v>207</v>
      </c>
      <c r="L820">
        <v>13601</v>
      </c>
      <c r="M820" t="s">
        <v>117</v>
      </c>
      <c r="N820" t="s">
        <v>3480</v>
      </c>
      <c r="O820" t="s">
        <v>28</v>
      </c>
      <c r="P820" t="s">
        <v>119</v>
      </c>
      <c r="Q820" t="s">
        <v>3481</v>
      </c>
      <c r="R820">
        <v>191646</v>
      </c>
    </row>
    <row r="821" spans="1:18" x14ac:dyDescent="0.3">
      <c r="A821" t="s">
        <v>3482</v>
      </c>
      <c r="B821" s="1">
        <v>43450</v>
      </c>
      <c r="C821" s="1">
        <v>43455</v>
      </c>
      <c r="D821" s="1">
        <v>43435</v>
      </c>
      <c r="E821" t="s">
        <v>19</v>
      </c>
      <c r="F821" t="s">
        <v>3483</v>
      </c>
      <c r="G821" t="s">
        <v>3484</v>
      </c>
      <c r="H821" t="s">
        <v>34</v>
      </c>
      <c r="I821" t="s">
        <v>23</v>
      </c>
      <c r="J821" t="s">
        <v>1480</v>
      </c>
      <c r="K821" t="s">
        <v>36</v>
      </c>
      <c r="L821">
        <v>92054</v>
      </c>
      <c r="M821" t="s">
        <v>37</v>
      </c>
      <c r="N821" t="s">
        <v>118</v>
      </c>
      <c r="O821" t="s">
        <v>28</v>
      </c>
      <c r="P821" t="s">
        <v>119</v>
      </c>
      <c r="Q821" t="s">
        <v>120</v>
      </c>
      <c r="R821">
        <v>81568</v>
      </c>
    </row>
    <row r="822" spans="1:18" x14ac:dyDescent="0.3">
      <c r="A822" t="s">
        <v>3485</v>
      </c>
      <c r="B822" s="1">
        <v>42497</v>
      </c>
      <c r="C822" s="1">
        <v>42502</v>
      </c>
      <c r="D822" s="1">
        <v>42491</v>
      </c>
      <c r="E822" t="s">
        <v>43</v>
      </c>
      <c r="F822" t="s">
        <v>945</v>
      </c>
      <c r="G822" t="s">
        <v>946</v>
      </c>
      <c r="H822" t="s">
        <v>22</v>
      </c>
      <c r="I822" t="s">
        <v>23</v>
      </c>
      <c r="J822" t="s">
        <v>3486</v>
      </c>
      <c r="K822" t="s">
        <v>78</v>
      </c>
      <c r="L822">
        <v>75002</v>
      </c>
      <c r="M822" t="s">
        <v>79</v>
      </c>
      <c r="N822" t="s">
        <v>1985</v>
      </c>
      <c r="O822" t="s">
        <v>28</v>
      </c>
      <c r="P822" t="s">
        <v>49</v>
      </c>
      <c r="Q822" t="s">
        <v>1986</v>
      </c>
      <c r="R822">
        <v>244006</v>
      </c>
    </row>
    <row r="823" spans="1:18" x14ac:dyDescent="0.3">
      <c r="A823" t="s">
        <v>3487</v>
      </c>
      <c r="B823" s="1">
        <v>42533</v>
      </c>
      <c r="C823" s="1">
        <v>42538</v>
      </c>
      <c r="D823" s="1">
        <v>42522</v>
      </c>
      <c r="E823" t="s">
        <v>43</v>
      </c>
      <c r="F823" t="s">
        <v>3488</v>
      </c>
      <c r="G823" t="s">
        <v>3489</v>
      </c>
      <c r="H823" t="s">
        <v>22</v>
      </c>
      <c r="I823" t="s">
        <v>23</v>
      </c>
      <c r="J823" t="s">
        <v>115</v>
      </c>
      <c r="K823" t="s">
        <v>116</v>
      </c>
      <c r="L823">
        <v>19134</v>
      </c>
      <c r="M823" t="s">
        <v>117</v>
      </c>
      <c r="N823" t="s">
        <v>3490</v>
      </c>
      <c r="O823" t="s">
        <v>39</v>
      </c>
      <c r="P823" t="s">
        <v>63</v>
      </c>
      <c r="Q823" t="s">
        <v>3491</v>
      </c>
      <c r="R823">
        <v>20736</v>
      </c>
    </row>
    <row r="824" spans="1:18" x14ac:dyDescent="0.3">
      <c r="A824" t="s">
        <v>3492</v>
      </c>
      <c r="B824" s="1">
        <v>42880</v>
      </c>
      <c r="C824" s="1">
        <v>42885</v>
      </c>
      <c r="D824" s="1">
        <v>42856</v>
      </c>
      <c r="E824" t="s">
        <v>43</v>
      </c>
      <c r="F824" t="s">
        <v>3493</v>
      </c>
      <c r="G824" t="s">
        <v>3494</v>
      </c>
      <c r="H824" t="s">
        <v>76</v>
      </c>
      <c r="I824" t="s">
        <v>23</v>
      </c>
      <c r="J824" t="s">
        <v>376</v>
      </c>
      <c r="K824" t="s">
        <v>845</v>
      </c>
      <c r="L824">
        <v>31907</v>
      </c>
      <c r="M824" t="s">
        <v>26</v>
      </c>
      <c r="N824" t="s">
        <v>3495</v>
      </c>
      <c r="O824" t="s">
        <v>28</v>
      </c>
      <c r="P824" t="s">
        <v>55</v>
      </c>
      <c r="Q824" t="s">
        <v>3496</v>
      </c>
      <c r="R824">
        <v>2496</v>
      </c>
    </row>
    <row r="825" spans="1:18" x14ac:dyDescent="0.3">
      <c r="A825" t="s">
        <v>3497</v>
      </c>
      <c r="B825" s="1">
        <v>42787</v>
      </c>
      <c r="C825" s="1">
        <v>42792</v>
      </c>
      <c r="D825" s="1">
        <v>42767</v>
      </c>
      <c r="E825" t="s">
        <v>19</v>
      </c>
      <c r="F825" t="s">
        <v>3498</v>
      </c>
      <c r="G825" t="s">
        <v>3499</v>
      </c>
      <c r="H825" t="s">
        <v>34</v>
      </c>
      <c r="I825" t="s">
        <v>23</v>
      </c>
      <c r="J825" t="s">
        <v>35</v>
      </c>
      <c r="K825" t="s">
        <v>36</v>
      </c>
      <c r="L825">
        <v>90032</v>
      </c>
      <c r="M825" t="s">
        <v>37</v>
      </c>
      <c r="N825" t="s">
        <v>3500</v>
      </c>
      <c r="O825" t="s">
        <v>147</v>
      </c>
      <c r="P825" t="s">
        <v>180</v>
      </c>
      <c r="Q825" t="s">
        <v>3501</v>
      </c>
      <c r="R825">
        <v>1299</v>
      </c>
    </row>
    <row r="826" spans="1:18" x14ac:dyDescent="0.3">
      <c r="A826" t="s">
        <v>3502</v>
      </c>
      <c r="B826" s="1">
        <v>43010</v>
      </c>
      <c r="C826" s="1">
        <v>43014</v>
      </c>
      <c r="D826" s="1">
        <v>43009</v>
      </c>
      <c r="E826" t="s">
        <v>43</v>
      </c>
      <c r="F826" t="s">
        <v>3301</v>
      </c>
      <c r="G826" t="s">
        <v>3302</v>
      </c>
      <c r="H826" t="s">
        <v>34</v>
      </c>
      <c r="I826" t="s">
        <v>23</v>
      </c>
      <c r="J826" t="s">
        <v>206</v>
      </c>
      <c r="K826" t="s">
        <v>207</v>
      </c>
      <c r="L826">
        <v>10024</v>
      </c>
      <c r="M826" t="s">
        <v>117</v>
      </c>
      <c r="N826" t="s">
        <v>1389</v>
      </c>
      <c r="O826" t="s">
        <v>39</v>
      </c>
      <c r="P826" t="s">
        <v>81</v>
      </c>
      <c r="Q826" t="s">
        <v>1390</v>
      </c>
      <c r="R826">
        <v>6144</v>
      </c>
    </row>
    <row r="827" spans="1:18" x14ac:dyDescent="0.3">
      <c r="A827" t="s">
        <v>3503</v>
      </c>
      <c r="B827" s="1">
        <v>43170</v>
      </c>
      <c r="C827" s="1">
        <v>43176</v>
      </c>
      <c r="D827" s="1">
        <v>43160</v>
      </c>
      <c r="E827" t="s">
        <v>43</v>
      </c>
      <c r="F827" t="s">
        <v>495</v>
      </c>
      <c r="G827" t="s">
        <v>496</v>
      </c>
      <c r="H827" t="s">
        <v>22</v>
      </c>
      <c r="I827" t="s">
        <v>23</v>
      </c>
      <c r="J827" t="s">
        <v>628</v>
      </c>
      <c r="K827" t="s">
        <v>186</v>
      </c>
      <c r="L827">
        <v>48227</v>
      </c>
      <c r="M827" t="s">
        <v>79</v>
      </c>
      <c r="N827" t="s">
        <v>2841</v>
      </c>
      <c r="O827" t="s">
        <v>39</v>
      </c>
      <c r="P827" t="s">
        <v>71</v>
      </c>
      <c r="Q827" t="s">
        <v>2842</v>
      </c>
      <c r="R827">
        <v>89592</v>
      </c>
    </row>
    <row r="828" spans="1:18" x14ac:dyDescent="0.3">
      <c r="A828" t="s">
        <v>3504</v>
      </c>
      <c r="B828" s="1">
        <v>42141</v>
      </c>
      <c r="C828" s="1">
        <v>42145</v>
      </c>
      <c r="D828" s="1">
        <v>42125</v>
      </c>
      <c r="E828" t="s">
        <v>43</v>
      </c>
      <c r="F828" t="s">
        <v>356</v>
      </c>
      <c r="G828" t="s">
        <v>357</v>
      </c>
      <c r="H828" t="s">
        <v>76</v>
      </c>
      <c r="I828" t="s">
        <v>23</v>
      </c>
      <c r="J828" t="s">
        <v>3505</v>
      </c>
      <c r="K828" t="s">
        <v>87</v>
      </c>
      <c r="L828">
        <v>54703</v>
      </c>
      <c r="M828" t="s">
        <v>79</v>
      </c>
      <c r="N828" t="s">
        <v>3506</v>
      </c>
      <c r="O828" t="s">
        <v>39</v>
      </c>
      <c r="P828" t="s">
        <v>71</v>
      </c>
      <c r="Q828" t="s">
        <v>3507</v>
      </c>
      <c r="R828">
        <v>9168</v>
      </c>
    </row>
    <row r="829" spans="1:18" x14ac:dyDescent="0.3">
      <c r="A829" t="s">
        <v>3508</v>
      </c>
      <c r="B829" s="1">
        <v>43207</v>
      </c>
      <c r="C829" s="1">
        <v>43213</v>
      </c>
      <c r="D829" s="1">
        <v>43191</v>
      </c>
      <c r="E829" t="s">
        <v>43</v>
      </c>
      <c r="F829" t="s">
        <v>3509</v>
      </c>
      <c r="G829" t="s">
        <v>3510</v>
      </c>
      <c r="H829" t="s">
        <v>76</v>
      </c>
      <c r="I829" t="s">
        <v>23</v>
      </c>
      <c r="J829" t="s">
        <v>978</v>
      </c>
      <c r="K829" t="s">
        <v>346</v>
      </c>
      <c r="L829">
        <v>80027</v>
      </c>
      <c r="M829" t="s">
        <v>37</v>
      </c>
      <c r="N829" t="s">
        <v>1008</v>
      </c>
      <c r="O829" t="s">
        <v>39</v>
      </c>
      <c r="P829" t="s">
        <v>71</v>
      </c>
      <c r="Q829" t="s">
        <v>1009</v>
      </c>
      <c r="R829">
        <v>1203</v>
      </c>
    </row>
    <row r="830" spans="1:18" x14ac:dyDescent="0.3">
      <c r="A830" t="s">
        <v>3511</v>
      </c>
      <c r="B830" s="1">
        <v>42970</v>
      </c>
      <c r="C830" s="1">
        <v>42977</v>
      </c>
      <c r="D830" s="1">
        <v>42948</v>
      </c>
      <c r="E830" t="s">
        <v>43</v>
      </c>
      <c r="F830" t="s">
        <v>2127</v>
      </c>
      <c r="G830" t="s">
        <v>2128</v>
      </c>
      <c r="H830" t="s">
        <v>76</v>
      </c>
      <c r="I830" t="s">
        <v>23</v>
      </c>
      <c r="J830" t="s">
        <v>3512</v>
      </c>
      <c r="K830" t="s">
        <v>78</v>
      </c>
      <c r="L830">
        <v>78577</v>
      </c>
      <c r="M830" t="s">
        <v>79</v>
      </c>
      <c r="N830" t="s">
        <v>1070</v>
      </c>
      <c r="O830" t="s">
        <v>39</v>
      </c>
      <c r="P830" t="s">
        <v>89</v>
      </c>
      <c r="Q830" t="s">
        <v>1071</v>
      </c>
      <c r="R830">
        <v>727296</v>
      </c>
    </row>
    <row r="831" spans="1:18" x14ac:dyDescent="0.3">
      <c r="A831" t="s">
        <v>3513</v>
      </c>
      <c r="B831" s="1">
        <v>42240</v>
      </c>
      <c r="C831" s="1">
        <v>42240</v>
      </c>
      <c r="D831" s="1">
        <v>42217</v>
      </c>
      <c r="E831" t="s">
        <v>857</v>
      </c>
      <c r="F831" t="s">
        <v>2588</v>
      </c>
      <c r="G831" t="s">
        <v>2589</v>
      </c>
      <c r="H831" t="s">
        <v>34</v>
      </c>
      <c r="I831" t="s">
        <v>23</v>
      </c>
      <c r="J831" t="s">
        <v>3514</v>
      </c>
      <c r="K831" t="s">
        <v>1141</v>
      </c>
      <c r="L831">
        <v>59102</v>
      </c>
      <c r="M831" t="s">
        <v>37</v>
      </c>
      <c r="N831" t="s">
        <v>3515</v>
      </c>
      <c r="O831" t="s">
        <v>39</v>
      </c>
      <c r="P831" t="s">
        <v>71</v>
      </c>
      <c r="Q831" t="s">
        <v>3516</v>
      </c>
      <c r="R831">
        <v>8288</v>
      </c>
    </row>
    <row r="832" spans="1:18" x14ac:dyDescent="0.3">
      <c r="A832" t="s">
        <v>3517</v>
      </c>
      <c r="B832" s="1">
        <v>42818</v>
      </c>
      <c r="C832" s="1">
        <v>42822</v>
      </c>
      <c r="D832" s="1">
        <v>42795</v>
      </c>
      <c r="E832" t="s">
        <v>43</v>
      </c>
      <c r="F832" t="s">
        <v>667</v>
      </c>
      <c r="G832" t="s">
        <v>668</v>
      </c>
      <c r="H832" t="s">
        <v>34</v>
      </c>
      <c r="I832" t="s">
        <v>23</v>
      </c>
      <c r="J832" t="s">
        <v>3518</v>
      </c>
      <c r="K832" t="s">
        <v>313</v>
      </c>
      <c r="L832">
        <v>97030</v>
      </c>
      <c r="M832" t="s">
        <v>37</v>
      </c>
      <c r="N832" t="s">
        <v>3519</v>
      </c>
      <c r="O832" t="s">
        <v>147</v>
      </c>
      <c r="P832" t="s">
        <v>148</v>
      </c>
      <c r="Q832" t="s">
        <v>3520</v>
      </c>
      <c r="R832">
        <v>403168</v>
      </c>
    </row>
    <row r="833" spans="1:18" x14ac:dyDescent="0.3">
      <c r="A833" t="s">
        <v>3521</v>
      </c>
      <c r="B833" s="1">
        <v>43060</v>
      </c>
      <c r="C833" s="1">
        <v>43065</v>
      </c>
      <c r="D833" s="1">
        <v>43040</v>
      </c>
      <c r="E833" t="s">
        <v>43</v>
      </c>
      <c r="F833" t="s">
        <v>2157</v>
      </c>
      <c r="G833" t="s">
        <v>2158</v>
      </c>
      <c r="H833" t="s">
        <v>22</v>
      </c>
      <c r="I833" t="s">
        <v>23</v>
      </c>
      <c r="J833" t="s">
        <v>3518</v>
      </c>
      <c r="K833" t="s">
        <v>313</v>
      </c>
      <c r="L833">
        <v>97030</v>
      </c>
      <c r="M833" t="s">
        <v>37</v>
      </c>
      <c r="N833" t="s">
        <v>3522</v>
      </c>
      <c r="O833" t="s">
        <v>28</v>
      </c>
      <c r="P833" t="s">
        <v>119</v>
      </c>
      <c r="Q833" t="s">
        <v>3523</v>
      </c>
      <c r="R833">
        <v>195136</v>
      </c>
    </row>
    <row r="834" spans="1:18" x14ac:dyDescent="0.3">
      <c r="A834" t="s">
        <v>3524</v>
      </c>
      <c r="B834" s="1">
        <v>42532</v>
      </c>
      <c r="C834" s="1">
        <v>42537</v>
      </c>
      <c r="D834" s="1">
        <v>42522</v>
      </c>
      <c r="E834" t="s">
        <v>43</v>
      </c>
      <c r="F834" t="s">
        <v>1155</v>
      </c>
      <c r="G834" t="s">
        <v>1156</v>
      </c>
      <c r="H834" t="s">
        <v>22</v>
      </c>
      <c r="I834" t="s">
        <v>23</v>
      </c>
      <c r="J834" t="s">
        <v>531</v>
      </c>
      <c r="K834" t="s">
        <v>532</v>
      </c>
      <c r="L834">
        <v>71203</v>
      </c>
      <c r="M834" t="s">
        <v>26</v>
      </c>
      <c r="N834" t="s">
        <v>3525</v>
      </c>
      <c r="O834" t="s">
        <v>147</v>
      </c>
      <c r="P834" t="s">
        <v>180</v>
      </c>
      <c r="Q834" t="s">
        <v>3526</v>
      </c>
      <c r="R834">
        <v>537</v>
      </c>
    </row>
    <row r="835" spans="1:18" x14ac:dyDescent="0.3">
      <c r="A835" t="s">
        <v>3527</v>
      </c>
      <c r="B835" s="1">
        <v>43379</v>
      </c>
      <c r="C835" s="1">
        <v>43384</v>
      </c>
      <c r="D835" s="1">
        <v>43374</v>
      </c>
      <c r="E835" t="s">
        <v>43</v>
      </c>
      <c r="F835" t="s">
        <v>1554</v>
      </c>
      <c r="G835" t="s">
        <v>1555</v>
      </c>
      <c r="H835" t="s">
        <v>76</v>
      </c>
      <c r="I835" t="s">
        <v>23</v>
      </c>
      <c r="J835" t="s">
        <v>3528</v>
      </c>
      <c r="K835" t="s">
        <v>3529</v>
      </c>
      <c r="L835">
        <v>83642</v>
      </c>
      <c r="M835" t="s">
        <v>37</v>
      </c>
      <c r="N835" t="s">
        <v>3530</v>
      </c>
      <c r="O835" t="s">
        <v>28</v>
      </c>
      <c r="P835" t="s">
        <v>55</v>
      </c>
      <c r="Q835" t="s">
        <v>3531</v>
      </c>
      <c r="R835">
        <v>4196</v>
      </c>
    </row>
    <row r="836" spans="1:18" x14ac:dyDescent="0.3">
      <c r="A836" t="s">
        <v>3532</v>
      </c>
      <c r="B836" s="1">
        <v>42610</v>
      </c>
      <c r="C836" s="1">
        <v>42614</v>
      </c>
      <c r="D836" s="1">
        <v>42583</v>
      </c>
      <c r="E836" t="s">
        <v>43</v>
      </c>
      <c r="F836" t="s">
        <v>3533</v>
      </c>
      <c r="G836" t="s">
        <v>3534</v>
      </c>
      <c r="H836" t="s">
        <v>34</v>
      </c>
      <c r="I836" t="s">
        <v>23</v>
      </c>
      <c r="J836" t="s">
        <v>225</v>
      </c>
      <c r="K836" t="s">
        <v>160</v>
      </c>
      <c r="L836">
        <v>60623</v>
      </c>
      <c r="M836" t="s">
        <v>79</v>
      </c>
      <c r="N836" t="s">
        <v>2476</v>
      </c>
      <c r="O836" t="s">
        <v>147</v>
      </c>
      <c r="P836" t="s">
        <v>1143</v>
      </c>
      <c r="Q836" t="s">
        <v>2477</v>
      </c>
      <c r="R836">
        <v>279996</v>
      </c>
    </row>
    <row r="837" spans="1:18" x14ac:dyDescent="0.3">
      <c r="A837" t="s">
        <v>3535</v>
      </c>
      <c r="B837" s="1">
        <v>42738</v>
      </c>
      <c r="C837" s="1">
        <v>42740</v>
      </c>
      <c r="D837" s="1">
        <v>42736</v>
      </c>
      <c r="E837" t="s">
        <v>142</v>
      </c>
      <c r="F837" t="s">
        <v>1285</v>
      </c>
      <c r="G837" t="s">
        <v>1286</v>
      </c>
      <c r="H837" t="s">
        <v>22</v>
      </c>
      <c r="I837" t="s">
        <v>23</v>
      </c>
      <c r="J837" t="s">
        <v>35</v>
      </c>
      <c r="K837" t="s">
        <v>36</v>
      </c>
      <c r="L837">
        <v>90045</v>
      </c>
      <c r="M837" t="s">
        <v>37</v>
      </c>
      <c r="N837" t="s">
        <v>3536</v>
      </c>
      <c r="O837" t="s">
        <v>39</v>
      </c>
      <c r="P837" t="s">
        <v>89</v>
      </c>
      <c r="Q837" t="s">
        <v>3537</v>
      </c>
      <c r="R837">
        <v>11446</v>
      </c>
    </row>
    <row r="838" spans="1:18" x14ac:dyDescent="0.3">
      <c r="A838" t="s">
        <v>3538</v>
      </c>
      <c r="B838" s="1">
        <v>42205</v>
      </c>
      <c r="C838" s="1">
        <v>42209</v>
      </c>
      <c r="D838" s="1">
        <v>42186</v>
      </c>
      <c r="E838" t="s">
        <v>43</v>
      </c>
      <c r="F838" t="s">
        <v>2294</v>
      </c>
      <c r="G838" t="s">
        <v>2295</v>
      </c>
      <c r="H838" t="s">
        <v>76</v>
      </c>
      <c r="I838" t="s">
        <v>23</v>
      </c>
      <c r="J838" t="s">
        <v>590</v>
      </c>
      <c r="K838" t="s">
        <v>78</v>
      </c>
      <c r="L838">
        <v>75217</v>
      </c>
      <c r="M838" t="s">
        <v>79</v>
      </c>
      <c r="N838" t="s">
        <v>3539</v>
      </c>
      <c r="O838" t="s">
        <v>39</v>
      </c>
      <c r="P838" t="s">
        <v>89</v>
      </c>
      <c r="Q838" t="s">
        <v>3540</v>
      </c>
      <c r="R838">
        <v>342864</v>
      </c>
    </row>
    <row r="839" spans="1:18" x14ac:dyDescent="0.3">
      <c r="A839" t="s">
        <v>3541</v>
      </c>
      <c r="B839" s="1">
        <v>43247</v>
      </c>
      <c r="C839" s="1">
        <v>43253</v>
      </c>
      <c r="D839" s="1">
        <v>43221</v>
      </c>
      <c r="E839" t="s">
        <v>43</v>
      </c>
      <c r="F839" t="s">
        <v>652</v>
      </c>
      <c r="G839" t="s">
        <v>653</v>
      </c>
      <c r="H839" t="s">
        <v>76</v>
      </c>
      <c r="I839" t="s">
        <v>23</v>
      </c>
      <c r="J839" t="s">
        <v>978</v>
      </c>
      <c r="K839" t="s">
        <v>25</v>
      </c>
      <c r="L839">
        <v>40214</v>
      </c>
      <c r="M839" t="s">
        <v>26</v>
      </c>
      <c r="N839" t="s">
        <v>2008</v>
      </c>
      <c r="O839" t="s">
        <v>39</v>
      </c>
      <c r="P839" t="s">
        <v>71</v>
      </c>
      <c r="Q839" t="s">
        <v>2009</v>
      </c>
      <c r="R839">
        <v>5834</v>
      </c>
    </row>
    <row r="840" spans="1:18" x14ac:dyDescent="0.3">
      <c r="A840" t="s">
        <v>3542</v>
      </c>
      <c r="B840" s="1">
        <v>42032</v>
      </c>
      <c r="C840" s="1">
        <v>42038</v>
      </c>
      <c r="D840" s="1">
        <v>42005</v>
      </c>
      <c r="E840" t="s">
        <v>43</v>
      </c>
      <c r="F840" t="s">
        <v>1172</v>
      </c>
      <c r="G840" t="s">
        <v>1173</v>
      </c>
      <c r="H840" t="s">
        <v>22</v>
      </c>
      <c r="I840" t="s">
        <v>23</v>
      </c>
      <c r="J840" t="s">
        <v>206</v>
      </c>
      <c r="K840" t="s">
        <v>207</v>
      </c>
      <c r="L840">
        <v>10024</v>
      </c>
      <c r="M840" t="s">
        <v>117</v>
      </c>
      <c r="N840" t="s">
        <v>573</v>
      </c>
      <c r="O840" t="s">
        <v>39</v>
      </c>
      <c r="P840" t="s">
        <v>71</v>
      </c>
      <c r="Q840" t="s">
        <v>574</v>
      </c>
      <c r="R840">
        <v>3928</v>
      </c>
    </row>
    <row r="841" spans="1:18" x14ac:dyDescent="0.3">
      <c r="A841" t="s">
        <v>3543</v>
      </c>
      <c r="B841" s="1">
        <v>43140</v>
      </c>
      <c r="C841" s="1">
        <v>43145</v>
      </c>
      <c r="D841" s="1">
        <v>43132</v>
      </c>
      <c r="E841" t="s">
        <v>43</v>
      </c>
      <c r="F841" t="s">
        <v>3079</v>
      </c>
      <c r="G841" t="s">
        <v>3080</v>
      </c>
      <c r="H841" t="s">
        <v>22</v>
      </c>
      <c r="I841" t="s">
        <v>23</v>
      </c>
      <c r="J841" t="s">
        <v>138</v>
      </c>
      <c r="K841" t="s">
        <v>78</v>
      </c>
      <c r="L841">
        <v>77070</v>
      </c>
      <c r="M841" t="s">
        <v>79</v>
      </c>
      <c r="N841" t="s">
        <v>1002</v>
      </c>
      <c r="O841" t="s">
        <v>39</v>
      </c>
      <c r="P841" t="s">
        <v>71</v>
      </c>
      <c r="Q841" t="s">
        <v>1003</v>
      </c>
      <c r="R841">
        <v>252784</v>
      </c>
    </row>
    <row r="842" spans="1:18" x14ac:dyDescent="0.3">
      <c r="A842" t="s">
        <v>3544</v>
      </c>
      <c r="B842" s="1">
        <v>42797</v>
      </c>
      <c r="C842" s="1">
        <v>42802</v>
      </c>
      <c r="D842" s="1">
        <v>42795</v>
      </c>
      <c r="E842" t="s">
        <v>43</v>
      </c>
      <c r="F842" t="s">
        <v>52</v>
      </c>
      <c r="G842" t="s">
        <v>53</v>
      </c>
      <c r="H842" t="s">
        <v>22</v>
      </c>
      <c r="I842" t="s">
        <v>23</v>
      </c>
      <c r="J842" t="s">
        <v>447</v>
      </c>
      <c r="K842" t="s">
        <v>193</v>
      </c>
      <c r="L842">
        <v>19711</v>
      </c>
      <c r="M842" t="s">
        <v>117</v>
      </c>
      <c r="N842" t="s">
        <v>3545</v>
      </c>
      <c r="O842" t="s">
        <v>39</v>
      </c>
      <c r="P842" t="s">
        <v>71</v>
      </c>
      <c r="Q842" t="s">
        <v>3546</v>
      </c>
      <c r="R842">
        <v>44786</v>
      </c>
    </row>
    <row r="843" spans="1:18" x14ac:dyDescent="0.3">
      <c r="A843" t="s">
        <v>3547</v>
      </c>
      <c r="B843" s="1">
        <v>42605</v>
      </c>
      <c r="C843" s="1">
        <v>42605</v>
      </c>
      <c r="D843" s="1">
        <v>42583</v>
      </c>
      <c r="E843" t="s">
        <v>857</v>
      </c>
      <c r="F843" t="s">
        <v>826</v>
      </c>
      <c r="G843" t="s">
        <v>827</v>
      </c>
      <c r="H843" t="s">
        <v>22</v>
      </c>
      <c r="I843" t="s">
        <v>23</v>
      </c>
      <c r="J843" t="s">
        <v>3548</v>
      </c>
      <c r="K843" t="s">
        <v>160</v>
      </c>
      <c r="L843">
        <v>60440</v>
      </c>
      <c r="M843" t="s">
        <v>79</v>
      </c>
      <c r="N843" t="s">
        <v>3549</v>
      </c>
      <c r="O843" t="s">
        <v>39</v>
      </c>
      <c r="P843" t="s">
        <v>1264</v>
      </c>
      <c r="Q843" t="s">
        <v>3550</v>
      </c>
      <c r="R843">
        <v>3168</v>
      </c>
    </row>
    <row r="844" spans="1:18" x14ac:dyDescent="0.3">
      <c r="A844" t="s">
        <v>3551</v>
      </c>
      <c r="B844" s="1">
        <v>43217</v>
      </c>
      <c r="C844" s="1">
        <v>43221</v>
      </c>
      <c r="D844" s="1">
        <v>43191</v>
      </c>
      <c r="E844" t="s">
        <v>43</v>
      </c>
      <c r="F844" t="s">
        <v>362</v>
      </c>
      <c r="G844" t="s">
        <v>363</v>
      </c>
      <c r="H844" t="s">
        <v>34</v>
      </c>
      <c r="I844" t="s">
        <v>23</v>
      </c>
      <c r="J844" t="s">
        <v>77</v>
      </c>
      <c r="K844" t="s">
        <v>78</v>
      </c>
      <c r="L844">
        <v>76106</v>
      </c>
      <c r="M844" t="s">
        <v>79</v>
      </c>
      <c r="N844" t="s">
        <v>851</v>
      </c>
      <c r="O844" t="s">
        <v>39</v>
      </c>
      <c r="P844" t="s">
        <v>40</v>
      </c>
      <c r="Q844" t="s">
        <v>852</v>
      </c>
      <c r="R844">
        <v>3312</v>
      </c>
    </row>
    <row r="845" spans="1:18" x14ac:dyDescent="0.3">
      <c r="A845" t="s">
        <v>3552</v>
      </c>
      <c r="B845" s="1">
        <v>42893</v>
      </c>
      <c r="C845" s="1">
        <v>42896</v>
      </c>
      <c r="D845" s="1">
        <v>42887</v>
      </c>
      <c r="E845" t="s">
        <v>142</v>
      </c>
      <c r="F845" t="s">
        <v>1457</v>
      </c>
      <c r="G845" t="s">
        <v>1458</v>
      </c>
      <c r="H845" t="s">
        <v>76</v>
      </c>
      <c r="I845" t="s">
        <v>23</v>
      </c>
      <c r="J845" t="s">
        <v>206</v>
      </c>
      <c r="K845" t="s">
        <v>207</v>
      </c>
      <c r="L845">
        <v>10035</v>
      </c>
      <c r="M845" t="s">
        <v>117</v>
      </c>
      <c r="N845" t="s">
        <v>1522</v>
      </c>
      <c r="O845" t="s">
        <v>39</v>
      </c>
      <c r="P845" t="s">
        <v>63</v>
      </c>
      <c r="Q845" t="s">
        <v>1523</v>
      </c>
      <c r="R845">
        <v>324</v>
      </c>
    </row>
    <row r="846" spans="1:18" x14ac:dyDescent="0.3">
      <c r="A846" t="s">
        <v>3553</v>
      </c>
      <c r="B846" s="1">
        <v>42815</v>
      </c>
      <c r="C846" s="1">
        <v>42822</v>
      </c>
      <c r="D846" s="1">
        <v>42795</v>
      </c>
      <c r="E846" t="s">
        <v>43</v>
      </c>
      <c r="F846" t="s">
        <v>2261</v>
      </c>
      <c r="G846" t="s">
        <v>2262</v>
      </c>
      <c r="H846" t="s">
        <v>22</v>
      </c>
      <c r="I846" t="s">
        <v>23</v>
      </c>
      <c r="J846" t="s">
        <v>225</v>
      </c>
      <c r="K846" t="s">
        <v>160</v>
      </c>
      <c r="L846">
        <v>60623</v>
      </c>
      <c r="M846" t="s">
        <v>79</v>
      </c>
      <c r="N846" t="s">
        <v>3554</v>
      </c>
      <c r="O846" t="s">
        <v>39</v>
      </c>
      <c r="P846" t="s">
        <v>71</v>
      </c>
      <c r="Q846" t="s">
        <v>3555</v>
      </c>
      <c r="R846">
        <v>3168</v>
      </c>
    </row>
    <row r="847" spans="1:18" x14ac:dyDescent="0.3">
      <c r="A847" t="s">
        <v>3556</v>
      </c>
      <c r="B847" s="1">
        <v>42315</v>
      </c>
      <c r="C847" s="1">
        <v>42317</v>
      </c>
      <c r="D847" s="1">
        <v>42309</v>
      </c>
      <c r="E847" t="s">
        <v>142</v>
      </c>
      <c r="F847" t="s">
        <v>3557</v>
      </c>
      <c r="G847" t="s">
        <v>3558</v>
      </c>
      <c r="H847" t="s">
        <v>34</v>
      </c>
      <c r="I847" t="s">
        <v>23</v>
      </c>
      <c r="J847" t="s">
        <v>138</v>
      </c>
      <c r="K847" t="s">
        <v>78</v>
      </c>
      <c r="L847">
        <v>77041</v>
      </c>
      <c r="M847" t="s">
        <v>79</v>
      </c>
      <c r="N847" t="s">
        <v>3559</v>
      </c>
      <c r="O847" t="s">
        <v>39</v>
      </c>
      <c r="P847" t="s">
        <v>71</v>
      </c>
      <c r="Q847" t="s">
        <v>3560</v>
      </c>
      <c r="R847">
        <v>26046</v>
      </c>
    </row>
    <row r="848" spans="1:18" x14ac:dyDescent="0.3">
      <c r="A848" t="s">
        <v>3561</v>
      </c>
      <c r="B848" s="1">
        <v>43171</v>
      </c>
      <c r="C848" s="1">
        <v>43176</v>
      </c>
      <c r="D848" s="1">
        <v>43160</v>
      </c>
      <c r="E848" t="s">
        <v>43</v>
      </c>
      <c r="F848" t="s">
        <v>106</v>
      </c>
      <c r="G848" t="s">
        <v>107</v>
      </c>
      <c r="H848" t="s">
        <v>34</v>
      </c>
      <c r="I848" t="s">
        <v>23</v>
      </c>
      <c r="J848" t="s">
        <v>828</v>
      </c>
      <c r="K848" t="s">
        <v>829</v>
      </c>
      <c r="L848">
        <v>1852</v>
      </c>
      <c r="M848" t="s">
        <v>117</v>
      </c>
      <c r="N848" t="s">
        <v>3562</v>
      </c>
      <c r="O848" t="s">
        <v>147</v>
      </c>
      <c r="P848" t="s">
        <v>148</v>
      </c>
      <c r="Q848" t="s">
        <v>3563</v>
      </c>
      <c r="R848">
        <v>6993</v>
      </c>
    </row>
    <row r="849" spans="1:18" x14ac:dyDescent="0.3">
      <c r="A849" t="s">
        <v>3564</v>
      </c>
      <c r="B849" s="1">
        <v>43303</v>
      </c>
      <c r="C849" s="1">
        <v>43309</v>
      </c>
      <c r="D849" s="1">
        <v>43282</v>
      </c>
      <c r="E849" t="s">
        <v>43</v>
      </c>
      <c r="F849" t="s">
        <v>571</v>
      </c>
      <c r="G849" t="s">
        <v>572</v>
      </c>
      <c r="H849" t="s">
        <v>34</v>
      </c>
      <c r="I849" t="s">
        <v>23</v>
      </c>
      <c r="J849" t="s">
        <v>206</v>
      </c>
      <c r="K849" t="s">
        <v>207</v>
      </c>
      <c r="L849">
        <v>10009</v>
      </c>
      <c r="M849" t="s">
        <v>117</v>
      </c>
      <c r="N849" t="s">
        <v>3565</v>
      </c>
      <c r="O849" t="s">
        <v>147</v>
      </c>
      <c r="P849" t="s">
        <v>148</v>
      </c>
      <c r="Q849" t="s">
        <v>3566</v>
      </c>
      <c r="R849">
        <v>2997</v>
      </c>
    </row>
    <row r="850" spans="1:18" x14ac:dyDescent="0.3">
      <c r="A850" t="s">
        <v>3567</v>
      </c>
      <c r="B850" s="1">
        <v>42561</v>
      </c>
      <c r="C850" s="1">
        <v>42561</v>
      </c>
      <c r="D850" s="1">
        <v>42552</v>
      </c>
      <c r="E850" t="s">
        <v>857</v>
      </c>
      <c r="F850" t="s">
        <v>126</v>
      </c>
      <c r="G850" t="s">
        <v>127</v>
      </c>
      <c r="H850" t="s">
        <v>22</v>
      </c>
      <c r="I850" t="s">
        <v>23</v>
      </c>
      <c r="J850" t="s">
        <v>2446</v>
      </c>
      <c r="K850" t="s">
        <v>232</v>
      </c>
      <c r="L850">
        <v>85281</v>
      </c>
      <c r="M850" t="s">
        <v>37</v>
      </c>
      <c r="N850" t="s">
        <v>3568</v>
      </c>
      <c r="O850" t="s">
        <v>39</v>
      </c>
      <c r="P850" t="s">
        <v>71</v>
      </c>
      <c r="Q850" t="s">
        <v>3569</v>
      </c>
      <c r="R850">
        <v>3366</v>
      </c>
    </row>
    <row r="851" spans="1:18" x14ac:dyDescent="0.3">
      <c r="A851" t="s">
        <v>3570</v>
      </c>
      <c r="B851" s="1">
        <v>42318</v>
      </c>
      <c r="C851" s="1">
        <v>42324</v>
      </c>
      <c r="D851" s="1">
        <v>42309</v>
      </c>
      <c r="E851" t="s">
        <v>43</v>
      </c>
      <c r="F851" t="s">
        <v>488</v>
      </c>
      <c r="G851" t="s">
        <v>489</v>
      </c>
      <c r="H851" t="s">
        <v>22</v>
      </c>
      <c r="I851" t="s">
        <v>23</v>
      </c>
      <c r="J851" t="s">
        <v>663</v>
      </c>
      <c r="K851" t="s">
        <v>36</v>
      </c>
      <c r="L851">
        <v>92037</v>
      </c>
      <c r="M851" t="s">
        <v>37</v>
      </c>
      <c r="N851" t="s">
        <v>3571</v>
      </c>
      <c r="O851" t="s">
        <v>147</v>
      </c>
      <c r="P851" t="s">
        <v>148</v>
      </c>
      <c r="Q851" t="s">
        <v>3572</v>
      </c>
      <c r="R851">
        <v>601536</v>
      </c>
    </row>
    <row r="852" spans="1:18" x14ac:dyDescent="0.3">
      <c r="A852" t="s">
        <v>3573</v>
      </c>
      <c r="B852" s="1">
        <v>42744</v>
      </c>
      <c r="C852" s="1">
        <v>42750</v>
      </c>
      <c r="D852" s="1">
        <v>42736</v>
      </c>
      <c r="E852" t="s">
        <v>43</v>
      </c>
      <c r="F852" t="s">
        <v>892</v>
      </c>
      <c r="G852" t="s">
        <v>893</v>
      </c>
      <c r="H852" t="s">
        <v>34</v>
      </c>
      <c r="I852" t="s">
        <v>23</v>
      </c>
      <c r="J852" t="s">
        <v>2120</v>
      </c>
      <c r="K852" t="s">
        <v>36</v>
      </c>
      <c r="L852">
        <v>93727</v>
      </c>
      <c r="M852" t="s">
        <v>37</v>
      </c>
      <c r="N852" t="s">
        <v>3574</v>
      </c>
      <c r="O852" t="s">
        <v>147</v>
      </c>
      <c r="P852" t="s">
        <v>180</v>
      </c>
      <c r="Q852" t="s">
        <v>3575</v>
      </c>
      <c r="R852">
        <v>34995</v>
      </c>
    </row>
    <row r="853" spans="1:18" x14ac:dyDescent="0.3">
      <c r="A853" t="s">
        <v>3576</v>
      </c>
      <c r="B853" s="1">
        <v>42361</v>
      </c>
      <c r="C853" s="1">
        <v>42366</v>
      </c>
      <c r="D853" s="1">
        <v>42339</v>
      </c>
      <c r="E853" t="s">
        <v>43</v>
      </c>
      <c r="F853" t="s">
        <v>3262</v>
      </c>
      <c r="G853" t="s">
        <v>3263</v>
      </c>
      <c r="H853" t="s">
        <v>22</v>
      </c>
      <c r="I853" t="s">
        <v>23</v>
      </c>
      <c r="J853" t="s">
        <v>1269</v>
      </c>
      <c r="K853" t="s">
        <v>200</v>
      </c>
      <c r="L853">
        <v>47374</v>
      </c>
      <c r="M853" t="s">
        <v>79</v>
      </c>
      <c r="N853" t="s">
        <v>1959</v>
      </c>
      <c r="O853" t="s">
        <v>39</v>
      </c>
      <c r="P853" t="s">
        <v>81</v>
      </c>
      <c r="Q853" t="s">
        <v>1960</v>
      </c>
      <c r="R853">
        <v>20724</v>
      </c>
    </row>
    <row r="854" spans="1:18" x14ac:dyDescent="0.3">
      <c r="A854" t="s">
        <v>3577</v>
      </c>
      <c r="B854" s="1">
        <v>42279</v>
      </c>
      <c r="C854" s="1">
        <v>42282</v>
      </c>
      <c r="D854" s="1">
        <v>42278</v>
      </c>
      <c r="E854" t="s">
        <v>142</v>
      </c>
      <c r="F854" t="s">
        <v>169</v>
      </c>
      <c r="G854" t="s">
        <v>170</v>
      </c>
      <c r="H854" t="s">
        <v>34</v>
      </c>
      <c r="I854" t="s">
        <v>23</v>
      </c>
      <c r="J854" t="s">
        <v>2446</v>
      </c>
      <c r="K854" t="s">
        <v>232</v>
      </c>
      <c r="L854">
        <v>85281</v>
      </c>
      <c r="M854" t="s">
        <v>37</v>
      </c>
      <c r="N854" t="s">
        <v>3578</v>
      </c>
      <c r="O854" t="s">
        <v>39</v>
      </c>
      <c r="P854" t="s">
        <v>63</v>
      </c>
      <c r="Q854" t="s">
        <v>3579</v>
      </c>
      <c r="R854">
        <v>9408</v>
      </c>
    </row>
    <row r="855" spans="1:18" x14ac:dyDescent="0.3">
      <c r="A855" t="s">
        <v>3580</v>
      </c>
      <c r="B855" s="1">
        <v>43344</v>
      </c>
      <c r="C855" s="1">
        <v>43348</v>
      </c>
      <c r="D855" s="1">
        <v>43344</v>
      </c>
      <c r="E855" t="s">
        <v>19</v>
      </c>
      <c r="F855" t="s">
        <v>1135</v>
      </c>
      <c r="G855" t="s">
        <v>1136</v>
      </c>
      <c r="H855" t="s">
        <v>22</v>
      </c>
      <c r="I855" t="s">
        <v>23</v>
      </c>
      <c r="J855" t="s">
        <v>206</v>
      </c>
      <c r="K855" t="s">
        <v>207</v>
      </c>
      <c r="L855">
        <v>10009</v>
      </c>
      <c r="M855" t="s">
        <v>117</v>
      </c>
      <c r="N855" t="s">
        <v>3581</v>
      </c>
      <c r="O855" t="s">
        <v>28</v>
      </c>
      <c r="P855" t="s">
        <v>55</v>
      </c>
      <c r="Q855" t="s">
        <v>3582</v>
      </c>
      <c r="R855">
        <v>1149</v>
      </c>
    </row>
    <row r="856" spans="1:18" x14ac:dyDescent="0.3">
      <c r="A856" t="s">
        <v>3583</v>
      </c>
      <c r="B856" s="1">
        <v>42767</v>
      </c>
      <c r="C856" s="1">
        <v>42769</v>
      </c>
      <c r="D856" s="1">
        <v>42767</v>
      </c>
      <c r="E856" t="s">
        <v>142</v>
      </c>
      <c r="F856" t="s">
        <v>1659</v>
      </c>
      <c r="G856" t="s">
        <v>1660</v>
      </c>
      <c r="H856" t="s">
        <v>34</v>
      </c>
      <c r="I856" t="s">
        <v>23</v>
      </c>
      <c r="J856" t="s">
        <v>1374</v>
      </c>
      <c r="K856" t="s">
        <v>239</v>
      </c>
      <c r="L856">
        <v>22204</v>
      </c>
      <c r="M856" t="s">
        <v>26</v>
      </c>
      <c r="N856" t="s">
        <v>3584</v>
      </c>
      <c r="O856" t="s">
        <v>39</v>
      </c>
      <c r="P856" t="s">
        <v>89</v>
      </c>
      <c r="Q856" t="s">
        <v>3585</v>
      </c>
      <c r="R856">
        <v>5645</v>
      </c>
    </row>
    <row r="857" spans="1:18" x14ac:dyDescent="0.3">
      <c r="A857" t="s">
        <v>3586</v>
      </c>
      <c r="B857" s="1">
        <v>43400</v>
      </c>
      <c r="C857" s="1">
        <v>43403</v>
      </c>
      <c r="D857" s="1">
        <v>43374</v>
      </c>
      <c r="E857" t="s">
        <v>19</v>
      </c>
      <c r="F857" t="s">
        <v>136</v>
      </c>
      <c r="G857" t="s">
        <v>137</v>
      </c>
      <c r="H857" t="s">
        <v>76</v>
      </c>
      <c r="I857" t="s">
        <v>23</v>
      </c>
      <c r="J857" t="s">
        <v>225</v>
      </c>
      <c r="K857" t="s">
        <v>160</v>
      </c>
      <c r="L857">
        <v>60610</v>
      </c>
      <c r="M857" t="s">
        <v>79</v>
      </c>
      <c r="N857" t="s">
        <v>1081</v>
      </c>
      <c r="O857" t="s">
        <v>39</v>
      </c>
      <c r="P857" t="s">
        <v>103</v>
      </c>
      <c r="Q857" t="s">
        <v>1082</v>
      </c>
      <c r="R857">
        <v>7056</v>
      </c>
    </row>
    <row r="858" spans="1:18" x14ac:dyDescent="0.3">
      <c r="A858" t="s">
        <v>3587</v>
      </c>
      <c r="B858" s="1">
        <v>42288</v>
      </c>
      <c r="C858" s="1">
        <v>42292</v>
      </c>
      <c r="D858" s="1">
        <v>42278</v>
      </c>
      <c r="E858" t="s">
        <v>43</v>
      </c>
      <c r="F858" t="s">
        <v>2714</v>
      </c>
      <c r="G858" t="s">
        <v>2715</v>
      </c>
      <c r="H858" t="s">
        <v>22</v>
      </c>
      <c r="I858" t="s">
        <v>23</v>
      </c>
      <c r="J858" t="s">
        <v>115</v>
      </c>
      <c r="K858" t="s">
        <v>116</v>
      </c>
      <c r="L858">
        <v>19120</v>
      </c>
      <c r="M858" t="s">
        <v>117</v>
      </c>
      <c r="N858" t="s">
        <v>3588</v>
      </c>
      <c r="O858" t="s">
        <v>39</v>
      </c>
      <c r="P858" t="s">
        <v>89</v>
      </c>
      <c r="Q858" t="s">
        <v>3589</v>
      </c>
      <c r="R858">
        <v>281904</v>
      </c>
    </row>
    <row r="859" spans="1:18" x14ac:dyDescent="0.3">
      <c r="A859" t="s">
        <v>3590</v>
      </c>
      <c r="B859" s="1">
        <v>42146</v>
      </c>
      <c r="C859" s="1">
        <v>42153</v>
      </c>
      <c r="D859" s="1">
        <v>42125</v>
      </c>
      <c r="E859" t="s">
        <v>43</v>
      </c>
      <c r="F859" t="s">
        <v>3591</v>
      </c>
      <c r="G859" t="s">
        <v>3592</v>
      </c>
      <c r="H859" t="s">
        <v>22</v>
      </c>
      <c r="I859" t="s">
        <v>23</v>
      </c>
      <c r="J859" t="s">
        <v>1044</v>
      </c>
      <c r="K859" t="s">
        <v>1180</v>
      </c>
      <c r="L859">
        <v>35601</v>
      </c>
      <c r="M859" t="s">
        <v>26</v>
      </c>
      <c r="N859" t="s">
        <v>3593</v>
      </c>
      <c r="O859" t="s">
        <v>147</v>
      </c>
      <c r="P859" t="s">
        <v>148</v>
      </c>
      <c r="Q859" t="s">
        <v>3594</v>
      </c>
      <c r="R859">
        <v>13598</v>
      </c>
    </row>
    <row r="860" spans="1:18" x14ac:dyDescent="0.3">
      <c r="A860" t="s">
        <v>3595</v>
      </c>
      <c r="B860" s="1">
        <v>42200</v>
      </c>
      <c r="C860" s="1">
        <v>42204</v>
      </c>
      <c r="D860" s="1">
        <v>42186</v>
      </c>
      <c r="E860" t="s">
        <v>43</v>
      </c>
      <c r="F860" t="s">
        <v>611</v>
      </c>
      <c r="G860" t="s">
        <v>612</v>
      </c>
      <c r="H860" t="s">
        <v>34</v>
      </c>
      <c r="I860" t="s">
        <v>23</v>
      </c>
      <c r="J860" t="s">
        <v>3420</v>
      </c>
      <c r="K860" t="s">
        <v>3421</v>
      </c>
      <c r="L860">
        <v>57103</v>
      </c>
      <c r="M860" t="s">
        <v>79</v>
      </c>
      <c r="N860" t="s">
        <v>3596</v>
      </c>
      <c r="O860" t="s">
        <v>147</v>
      </c>
      <c r="P860" t="s">
        <v>180</v>
      </c>
      <c r="Q860" t="s">
        <v>3597</v>
      </c>
      <c r="R860">
        <v>297</v>
      </c>
    </row>
    <row r="861" spans="1:18" x14ac:dyDescent="0.3">
      <c r="A861" t="s">
        <v>3598</v>
      </c>
      <c r="B861" s="1">
        <v>43038</v>
      </c>
      <c r="C861" s="1">
        <v>43043</v>
      </c>
      <c r="D861" s="1">
        <v>43009</v>
      </c>
      <c r="E861" t="s">
        <v>43</v>
      </c>
      <c r="F861" t="s">
        <v>3599</v>
      </c>
      <c r="G861" t="s">
        <v>3600</v>
      </c>
      <c r="H861" t="s">
        <v>22</v>
      </c>
      <c r="I861" t="s">
        <v>23</v>
      </c>
      <c r="J861" t="s">
        <v>3601</v>
      </c>
      <c r="K861" t="s">
        <v>186</v>
      </c>
      <c r="L861">
        <v>48310</v>
      </c>
      <c r="M861" t="s">
        <v>79</v>
      </c>
      <c r="N861" t="s">
        <v>1282</v>
      </c>
      <c r="O861" t="s">
        <v>39</v>
      </c>
      <c r="P861" t="s">
        <v>103</v>
      </c>
      <c r="Q861" t="s">
        <v>1283</v>
      </c>
      <c r="R861">
        <v>1168</v>
      </c>
    </row>
    <row r="862" spans="1:18" x14ac:dyDescent="0.3">
      <c r="A862" t="s">
        <v>3602</v>
      </c>
      <c r="B862" s="1">
        <v>42231</v>
      </c>
      <c r="C862" s="1">
        <v>42234</v>
      </c>
      <c r="D862" s="1">
        <v>42217</v>
      </c>
      <c r="E862" t="s">
        <v>142</v>
      </c>
      <c r="F862" t="s">
        <v>965</v>
      </c>
      <c r="G862" t="s">
        <v>966</v>
      </c>
      <c r="H862" t="s">
        <v>22</v>
      </c>
      <c r="I862" t="s">
        <v>23</v>
      </c>
      <c r="J862" t="s">
        <v>590</v>
      </c>
      <c r="K862" t="s">
        <v>78</v>
      </c>
      <c r="L862">
        <v>75081</v>
      </c>
      <c r="M862" t="s">
        <v>79</v>
      </c>
      <c r="N862" t="s">
        <v>1505</v>
      </c>
      <c r="O862" t="s">
        <v>39</v>
      </c>
      <c r="P862" t="s">
        <v>71</v>
      </c>
      <c r="Q862" t="s">
        <v>1506</v>
      </c>
      <c r="R862">
        <v>3096</v>
      </c>
    </row>
    <row r="863" spans="1:18" x14ac:dyDescent="0.3">
      <c r="A863" t="s">
        <v>3603</v>
      </c>
      <c r="B863" s="1">
        <v>42624</v>
      </c>
      <c r="C863" s="1">
        <v>42628</v>
      </c>
      <c r="D863" s="1">
        <v>42614</v>
      </c>
      <c r="E863" t="s">
        <v>43</v>
      </c>
      <c r="F863" t="s">
        <v>724</v>
      </c>
      <c r="G863" t="s">
        <v>725</v>
      </c>
      <c r="H863" t="s">
        <v>22</v>
      </c>
      <c r="I863" t="s">
        <v>23</v>
      </c>
      <c r="J863" t="s">
        <v>561</v>
      </c>
      <c r="K863" t="s">
        <v>36</v>
      </c>
      <c r="L863">
        <v>92374</v>
      </c>
      <c r="M863" t="s">
        <v>37</v>
      </c>
      <c r="N863" t="s">
        <v>1645</v>
      </c>
      <c r="O863" t="s">
        <v>39</v>
      </c>
      <c r="P863" t="s">
        <v>103</v>
      </c>
      <c r="Q863" t="s">
        <v>1646</v>
      </c>
      <c r="R863">
        <v>18135</v>
      </c>
    </row>
    <row r="864" spans="1:18" x14ac:dyDescent="0.3">
      <c r="A864" t="s">
        <v>3604</v>
      </c>
      <c r="B864" s="1">
        <v>42574</v>
      </c>
      <c r="C864" s="1">
        <v>42578</v>
      </c>
      <c r="D864" s="1">
        <v>42552</v>
      </c>
      <c r="E864" t="s">
        <v>43</v>
      </c>
      <c r="F864" t="s">
        <v>1439</v>
      </c>
      <c r="G864" t="s">
        <v>1440</v>
      </c>
      <c r="H864" t="s">
        <v>76</v>
      </c>
      <c r="I864" t="s">
        <v>23</v>
      </c>
      <c r="J864" t="s">
        <v>206</v>
      </c>
      <c r="K864" t="s">
        <v>207</v>
      </c>
      <c r="L864">
        <v>10009</v>
      </c>
      <c r="M864" t="s">
        <v>117</v>
      </c>
      <c r="N864" t="s">
        <v>3605</v>
      </c>
      <c r="O864" t="s">
        <v>39</v>
      </c>
      <c r="P864" t="s">
        <v>81</v>
      </c>
      <c r="Q864" t="s">
        <v>3606</v>
      </c>
      <c r="R864">
        <v>6894</v>
      </c>
    </row>
    <row r="865" spans="1:18" x14ac:dyDescent="0.3">
      <c r="A865" t="s">
        <v>3607</v>
      </c>
      <c r="B865" s="1">
        <v>42595</v>
      </c>
      <c r="C865" s="1">
        <v>42602</v>
      </c>
      <c r="D865" s="1">
        <v>42583</v>
      </c>
      <c r="E865" t="s">
        <v>43</v>
      </c>
      <c r="F865" t="s">
        <v>175</v>
      </c>
      <c r="G865" t="s">
        <v>176</v>
      </c>
      <c r="H865" t="s">
        <v>34</v>
      </c>
      <c r="I865" t="s">
        <v>23</v>
      </c>
      <c r="J865" t="s">
        <v>3608</v>
      </c>
      <c r="K865" t="s">
        <v>36</v>
      </c>
      <c r="L865">
        <v>92399</v>
      </c>
      <c r="M865" t="s">
        <v>37</v>
      </c>
      <c r="N865" t="s">
        <v>3609</v>
      </c>
      <c r="O865" t="s">
        <v>39</v>
      </c>
      <c r="P865" t="s">
        <v>103</v>
      </c>
      <c r="Q865" t="s">
        <v>3610</v>
      </c>
      <c r="R865">
        <v>508</v>
      </c>
    </row>
    <row r="866" spans="1:18" x14ac:dyDescent="0.3">
      <c r="A866" t="s">
        <v>3611</v>
      </c>
      <c r="B866" s="1">
        <v>42964</v>
      </c>
      <c r="C866" s="1">
        <v>42968</v>
      </c>
      <c r="D866" s="1">
        <v>42948</v>
      </c>
      <c r="E866" t="s">
        <v>43</v>
      </c>
      <c r="F866" t="s">
        <v>3612</v>
      </c>
      <c r="G866" t="s">
        <v>3613</v>
      </c>
      <c r="H866" t="s">
        <v>22</v>
      </c>
      <c r="I866" t="s">
        <v>23</v>
      </c>
      <c r="J866" t="s">
        <v>68</v>
      </c>
      <c r="K866" t="s">
        <v>69</v>
      </c>
      <c r="L866">
        <v>98105</v>
      </c>
      <c r="M866" t="s">
        <v>37</v>
      </c>
      <c r="N866" t="s">
        <v>1711</v>
      </c>
      <c r="O866" t="s">
        <v>39</v>
      </c>
      <c r="P866" t="s">
        <v>71</v>
      </c>
      <c r="Q866" t="s">
        <v>1712</v>
      </c>
      <c r="R866">
        <v>15712</v>
      </c>
    </row>
    <row r="867" spans="1:18" x14ac:dyDescent="0.3">
      <c r="A867" t="s">
        <v>3614</v>
      </c>
      <c r="B867" s="1">
        <v>42270</v>
      </c>
      <c r="C867" s="1">
        <v>42275</v>
      </c>
      <c r="D867" s="1">
        <v>42248</v>
      </c>
      <c r="E867" t="s">
        <v>43</v>
      </c>
      <c r="F867" t="s">
        <v>1643</v>
      </c>
      <c r="G867" t="s">
        <v>1644</v>
      </c>
      <c r="H867" t="s">
        <v>34</v>
      </c>
      <c r="I867" t="s">
        <v>23</v>
      </c>
      <c r="J867" t="s">
        <v>663</v>
      </c>
      <c r="K867" t="s">
        <v>36</v>
      </c>
      <c r="L867">
        <v>92037</v>
      </c>
      <c r="M867" t="s">
        <v>37</v>
      </c>
      <c r="N867" t="s">
        <v>3615</v>
      </c>
      <c r="O867" t="s">
        <v>28</v>
      </c>
      <c r="P867" t="s">
        <v>29</v>
      </c>
      <c r="Q867" t="s">
        <v>3616</v>
      </c>
      <c r="R867">
        <v>435999</v>
      </c>
    </row>
    <row r="868" spans="1:18" x14ac:dyDescent="0.3">
      <c r="A868" t="s">
        <v>3617</v>
      </c>
      <c r="B868" s="1">
        <v>42204</v>
      </c>
      <c r="C868" s="1">
        <v>42209</v>
      </c>
      <c r="D868" s="1">
        <v>42186</v>
      </c>
      <c r="E868" t="s">
        <v>43</v>
      </c>
      <c r="F868" t="s">
        <v>3618</v>
      </c>
      <c r="G868" t="s">
        <v>3619</v>
      </c>
      <c r="H868" t="s">
        <v>34</v>
      </c>
      <c r="I868" t="s">
        <v>23</v>
      </c>
      <c r="J868" t="s">
        <v>388</v>
      </c>
      <c r="K868" t="s">
        <v>539</v>
      </c>
      <c r="L868">
        <v>6010</v>
      </c>
      <c r="M868" t="s">
        <v>117</v>
      </c>
      <c r="N868" t="s">
        <v>3620</v>
      </c>
      <c r="O868" t="s">
        <v>147</v>
      </c>
      <c r="P868" t="s">
        <v>148</v>
      </c>
      <c r="Q868" t="s">
        <v>3621</v>
      </c>
      <c r="R868">
        <v>35998</v>
      </c>
    </row>
    <row r="869" spans="1:18" x14ac:dyDescent="0.3">
      <c r="A869" t="s">
        <v>3622</v>
      </c>
      <c r="B869" s="1">
        <v>42035</v>
      </c>
      <c r="C869" s="1">
        <v>42037</v>
      </c>
      <c r="D869" s="1">
        <v>42005</v>
      </c>
      <c r="E869" t="s">
        <v>142</v>
      </c>
      <c r="F869" t="s">
        <v>3623</v>
      </c>
      <c r="G869" t="s">
        <v>3624</v>
      </c>
      <c r="H869" t="s">
        <v>22</v>
      </c>
      <c r="I869" t="s">
        <v>23</v>
      </c>
      <c r="J869" t="s">
        <v>1345</v>
      </c>
      <c r="K869" t="s">
        <v>36</v>
      </c>
      <c r="L869">
        <v>92691</v>
      </c>
      <c r="M869" t="s">
        <v>37</v>
      </c>
      <c r="N869" t="s">
        <v>3625</v>
      </c>
      <c r="O869" t="s">
        <v>28</v>
      </c>
      <c r="P869" t="s">
        <v>29</v>
      </c>
      <c r="Q869" t="s">
        <v>3626</v>
      </c>
      <c r="R869">
        <v>290666</v>
      </c>
    </row>
    <row r="870" spans="1:18" x14ac:dyDescent="0.3">
      <c r="A870" t="s">
        <v>3627</v>
      </c>
      <c r="B870" s="1">
        <v>42194</v>
      </c>
      <c r="C870" s="1">
        <v>42200</v>
      </c>
      <c r="D870" s="1">
        <v>42186</v>
      </c>
      <c r="E870" t="s">
        <v>43</v>
      </c>
      <c r="F870" t="s">
        <v>1643</v>
      </c>
      <c r="G870" t="s">
        <v>1644</v>
      </c>
      <c r="H870" t="s">
        <v>34</v>
      </c>
      <c r="I870" t="s">
        <v>23</v>
      </c>
      <c r="J870" t="s">
        <v>590</v>
      </c>
      <c r="K870" t="s">
        <v>78</v>
      </c>
      <c r="L870">
        <v>75217</v>
      </c>
      <c r="M870" t="s">
        <v>79</v>
      </c>
      <c r="N870" t="s">
        <v>3628</v>
      </c>
      <c r="O870" t="s">
        <v>39</v>
      </c>
      <c r="P870" t="s">
        <v>63</v>
      </c>
      <c r="Q870" t="s">
        <v>3629</v>
      </c>
      <c r="R870">
        <v>10368</v>
      </c>
    </row>
    <row r="871" spans="1:18" x14ac:dyDescent="0.3">
      <c r="A871" t="s">
        <v>3630</v>
      </c>
      <c r="B871" s="1">
        <v>42819</v>
      </c>
      <c r="C871" s="1">
        <v>42819</v>
      </c>
      <c r="D871" s="1">
        <v>42795</v>
      </c>
      <c r="E871" t="s">
        <v>857</v>
      </c>
      <c r="F871" t="s">
        <v>3631</v>
      </c>
      <c r="G871" t="s">
        <v>3632</v>
      </c>
      <c r="H871" t="s">
        <v>22</v>
      </c>
      <c r="I871" t="s">
        <v>23</v>
      </c>
      <c r="J871" t="s">
        <v>1035</v>
      </c>
      <c r="K871" t="s">
        <v>474</v>
      </c>
      <c r="L871">
        <v>73071</v>
      </c>
      <c r="M871" t="s">
        <v>79</v>
      </c>
      <c r="N871" t="s">
        <v>2829</v>
      </c>
      <c r="O871" t="s">
        <v>147</v>
      </c>
      <c r="P871" t="s">
        <v>180</v>
      </c>
      <c r="Q871" t="s">
        <v>3633</v>
      </c>
      <c r="R871">
        <v>128745</v>
      </c>
    </row>
    <row r="872" spans="1:18" x14ac:dyDescent="0.3">
      <c r="A872" t="s">
        <v>3634</v>
      </c>
      <c r="B872" s="1">
        <v>43282</v>
      </c>
      <c r="C872" s="1">
        <v>43289</v>
      </c>
      <c r="D872" s="1">
        <v>43282</v>
      </c>
      <c r="E872" t="s">
        <v>43</v>
      </c>
      <c r="F872" t="s">
        <v>2998</v>
      </c>
      <c r="G872" t="s">
        <v>2999</v>
      </c>
      <c r="H872" t="s">
        <v>76</v>
      </c>
      <c r="I872" t="s">
        <v>23</v>
      </c>
      <c r="J872" t="s">
        <v>3635</v>
      </c>
      <c r="K872" t="s">
        <v>200</v>
      </c>
      <c r="L872">
        <v>46203</v>
      </c>
      <c r="M872" t="s">
        <v>79</v>
      </c>
      <c r="N872" t="s">
        <v>3636</v>
      </c>
      <c r="O872" t="s">
        <v>39</v>
      </c>
      <c r="P872" t="s">
        <v>89</v>
      </c>
      <c r="Q872" t="s">
        <v>3637</v>
      </c>
      <c r="R872">
        <v>44392</v>
      </c>
    </row>
    <row r="873" spans="1:18" x14ac:dyDescent="0.3">
      <c r="A873" t="s">
        <v>3638</v>
      </c>
      <c r="B873" s="1">
        <v>42329</v>
      </c>
      <c r="C873" s="1">
        <v>42334</v>
      </c>
      <c r="D873" s="1">
        <v>42309</v>
      </c>
      <c r="E873" t="s">
        <v>43</v>
      </c>
      <c r="F873" t="s">
        <v>3639</v>
      </c>
      <c r="G873" t="s">
        <v>3640</v>
      </c>
      <c r="H873" t="s">
        <v>34</v>
      </c>
      <c r="I873" t="s">
        <v>23</v>
      </c>
      <c r="J873" t="s">
        <v>1269</v>
      </c>
      <c r="K873" t="s">
        <v>25</v>
      </c>
      <c r="L873">
        <v>40475</v>
      </c>
      <c r="M873" t="s">
        <v>26</v>
      </c>
      <c r="N873" t="s">
        <v>1826</v>
      </c>
      <c r="O873" t="s">
        <v>147</v>
      </c>
      <c r="P873" t="s">
        <v>148</v>
      </c>
      <c r="Q873" t="s">
        <v>1827</v>
      </c>
      <c r="R873">
        <v>3699</v>
      </c>
    </row>
    <row r="874" spans="1:18" x14ac:dyDescent="0.3">
      <c r="A874" t="s">
        <v>3641</v>
      </c>
      <c r="B874" s="1">
        <v>42660</v>
      </c>
      <c r="C874" s="1">
        <v>42660</v>
      </c>
      <c r="D874" s="1">
        <v>42644</v>
      </c>
      <c r="E874" t="s">
        <v>857</v>
      </c>
      <c r="F874" t="s">
        <v>2499</v>
      </c>
      <c r="G874" t="s">
        <v>2500</v>
      </c>
      <c r="H874" t="s">
        <v>22</v>
      </c>
      <c r="I874" t="s">
        <v>23</v>
      </c>
      <c r="J874" t="s">
        <v>35</v>
      </c>
      <c r="K874" t="s">
        <v>36</v>
      </c>
      <c r="L874">
        <v>90004</v>
      </c>
      <c r="M874" t="s">
        <v>37</v>
      </c>
      <c r="N874" t="s">
        <v>166</v>
      </c>
      <c r="O874" t="s">
        <v>39</v>
      </c>
      <c r="P874" t="s">
        <v>89</v>
      </c>
      <c r="Q874" t="s">
        <v>167</v>
      </c>
      <c r="R874">
        <v>7788</v>
      </c>
    </row>
    <row r="875" spans="1:18" x14ac:dyDescent="0.3">
      <c r="A875" t="s">
        <v>3642</v>
      </c>
      <c r="B875" s="1">
        <v>42998</v>
      </c>
      <c r="C875" s="1">
        <v>43002</v>
      </c>
      <c r="D875" s="1">
        <v>42979</v>
      </c>
      <c r="E875" t="s">
        <v>43</v>
      </c>
      <c r="F875" t="s">
        <v>3643</v>
      </c>
      <c r="G875" t="s">
        <v>3644</v>
      </c>
      <c r="H875" t="s">
        <v>34</v>
      </c>
      <c r="I875" t="s">
        <v>23</v>
      </c>
      <c r="J875" t="s">
        <v>101</v>
      </c>
      <c r="K875" t="s">
        <v>36</v>
      </c>
      <c r="L875">
        <v>94122</v>
      </c>
      <c r="M875" t="s">
        <v>37</v>
      </c>
      <c r="N875" t="s">
        <v>3645</v>
      </c>
      <c r="O875" t="s">
        <v>39</v>
      </c>
      <c r="P875" t="s">
        <v>63</v>
      </c>
      <c r="Q875" t="s">
        <v>3646</v>
      </c>
      <c r="R875">
        <v>6579</v>
      </c>
    </row>
    <row r="876" spans="1:18" x14ac:dyDescent="0.3">
      <c r="A876" t="s">
        <v>3647</v>
      </c>
      <c r="B876" s="1">
        <v>42640</v>
      </c>
      <c r="C876" s="1">
        <v>42642</v>
      </c>
      <c r="D876" s="1">
        <v>42614</v>
      </c>
      <c r="E876" t="s">
        <v>142</v>
      </c>
      <c r="F876" t="s">
        <v>3612</v>
      </c>
      <c r="G876" t="s">
        <v>3613</v>
      </c>
      <c r="H876" t="s">
        <v>22</v>
      </c>
      <c r="I876" t="s">
        <v>23</v>
      </c>
      <c r="J876" t="s">
        <v>225</v>
      </c>
      <c r="K876" t="s">
        <v>160</v>
      </c>
      <c r="L876">
        <v>60610</v>
      </c>
      <c r="M876" t="s">
        <v>79</v>
      </c>
      <c r="N876" t="s">
        <v>1119</v>
      </c>
      <c r="O876" t="s">
        <v>39</v>
      </c>
      <c r="P876" t="s">
        <v>71</v>
      </c>
      <c r="Q876" t="s">
        <v>1120</v>
      </c>
      <c r="R876">
        <v>1508</v>
      </c>
    </row>
    <row r="877" spans="1:18" x14ac:dyDescent="0.3">
      <c r="A877" t="s">
        <v>3648</v>
      </c>
      <c r="B877" s="1">
        <v>42945</v>
      </c>
      <c r="C877" s="1">
        <v>42949</v>
      </c>
      <c r="D877" s="1">
        <v>42917</v>
      </c>
      <c r="E877" t="s">
        <v>43</v>
      </c>
      <c r="F877" t="s">
        <v>3649</v>
      </c>
      <c r="G877" t="s">
        <v>3650</v>
      </c>
      <c r="H877" t="s">
        <v>34</v>
      </c>
      <c r="I877" t="s">
        <v>23</v>
      </c>
      <c r="J877" t="s">
        <v>115</v>
      </c>
      <c r="K877" t="s">
        <v>116</v>
      </c>
      <c r="L877">
        <v>19140</v>
      </c>
      <c r="M877" t="s">
        <v>117</v>
      </c>
      <c r="N877" t="s">
        <v>187</v>
      </c>
      <c r="O877" t="s">
        <v>39</v>
      </c>
      <c r="P877" t="s">
        <v>89</v>
      </c>
      <c r="Q877" t="s">
        <v>188</v>
      </c>
      <c r="R877">
        <v>84784</v>
      </c>
    </row>
    <row r="878" spans="1:18" x14ac:dyDescent="0.3">
      <c r="A878" t="s">
        <v>3651</v>
      </c>
      <c r="B878" s="1">
        <v>42953</v>
      </c>
      <c r="C878" s="1">
        <v>42954</v>
      </c>
      <c r="D878" s="1">
        <v>42948</v>
      </c>
      <c r="E878" t="s">
        <v>142</v>
      </c>
      <c r="F878" t="s">
        <v>3652</v>
      </c>
      <c r="G878" t="s">
        <v>3653</v>
      </c>
      <c r="H878" t="s">
        <v>34</v>
      </c>
      <c r="I878" t="s">
        <v>23</v>
      </c>
      <c r="J878" t="s">
        <v>206</v>
      </c>
      <c r="K878" t="s">
        <v>207</v>
      </c>
      <c r="L878">
        <v>10024</v>
      </c>
      <c r="M878" t="s">
        <v>117</v>
      </c>
      <c r="N878" t="s">
        <v>1929</v>
      </c>
      <c r="O878" t="s">
        <v>39</v>
      </c>
      <c r="P878" t="s">
        <v>63</v>
      </c>
      <c r="Q878" t="s">
        <v>140</v>
      </c>
      <c r="R878">
        <v>7088</v>
      </c>
    </row>
    <row r="879" spans="1:18" x14ac:dyDescent="0.3">
      <c r="A879" t="s">
        <v>3654</v>
      </c>
      <c r="B879" s="1">
        <v>43015</v>
      </c>
      <c r="C879" s="1">
        <v>43021</v>
      </c>
      <c r="D879" s="1">
        <v>43009</v>
      </c>
      <c r="E879" t="s">
        <v>43</v>
      </c>
      <c r="F879" t="s">
        <v>3655</v>
      </c>
      <c r="G879" t="s">
        <v>3656</v>
      </c>
      <c r="H879" t="s">
        <v>22</v>
      </c>
      <c r="I879" t="s">
        <v>23</v>
      </c>
      <c r="J879" t="s">
        <v>35</v>
      </c>
      <c r="K879" t="s">
        <v>36</v>
      </c>
      <c r="L879">
        <v>90049</v>
      </c>
      <c r="M879" t="s">
        <v>37</v>
      </c>
      <c r="N879" t="s">
        <v>3657</v>
      </c>
      <c r="O879" t="s">
        <v>39</v>
      </c>
      <c r="P879" t="s">
        <v>71</v>
      </c>
      <c r="Q879" t="s">
        <v>3658</v>
      </c>
      <c r="R879">
        <v>27264</v>
      </c>
    </row>
    <row r="880" spans="1:18" x14ac:dyDescent="0.3">
      <c r="A880" t="s">
        <v>3659</v>
      </c>
      <c r="B880" s="1">
        <v>42079</v>
      </c>
      <c r="C880" s="1">
        <v>42084</v>
      </c>
      <c r="D880" s="1">
        <v>42064</v>
      </c>
      <c r="E880" t="s">
        <v>19</v>
      </c>
      <c r="F880" t="s">
        <v>3202</v>
      </c>
      <c r="G880" t="s">
        <v>3203</v>
      </c>
      <c r="H880" t="s">
        <v>76</v>
      </c>
      <c r="I880" t="s">
        <v>23</v>
      </c>
      <c r="J880" t="s">
        <v>2741</v>
      </c>
      <c r="K880" t="s">
        <v>61</v>
      </c>
      <c r="L880">
        <v>27604</v>
      </c>
      <c r="M880" t="s">
        <v>26</v>
      </c>
      <c r="N880" t="s">
        <v>3660</v>
      </c>
      <c r="O880" t="s">
        <v>147</v>
      </c>
      <c r="P880" t="s">
        <v>148</v>
      </c>
      <c r="Q880" t="s">
        <v>3661</v>
      </c>
      <c r="R880">
        <v>47192</v>
      </c>
    </row>
    <row r="881" spans="1:18" x14ac:dyDescent="0.3">
      <c r="A881" t="s">
        <v>3662</v>
      </c>
      <c r="B881" s="1">
        <v>42430</v>
      </c>
      <c r="C881" s="1">
        <v>42431</v>
      </c>
      <c r="D881" s="1">
        <v>42430</v>
      </c>
      <c r="E881" t="s">
        <v>19</v>
      </c>
      <c r="F881" t="s">
        <v>3663</v>
      </c>
      <c r="G881" t="s">
        <v>3664</v>
      </c>
      <c r="H881" t="s">
        <v>22</v>
      </c>
      <c r="I881" t="s">
        <v>23</v>
      </c>
      <c r="J881" t="s">
        <v>3665</v>
      </c>
      <c r="K881" t="s">
        <v>845</v>
      </c>
      <c r="L881">
        <v>31204</v>
      </c>
      <c r="M881" t="s">
        <v>26</v>
      </c>
      <c r="N881" t="s">
        <v>3666</v>
      </c>
      <c r="O881" t="s">
        <v>39</v>
      </c>
      <c r="P881" t="s">
        <v>71</v>
      </c>
      <c r="Q881" t="s">
        <v>3667</v>
      </c>
      <c r="R881">
        <v>5872</v>
      </c>
    </row>
    <row r="882" spans="1:18" x14ac:dyDescent="0.3">
      <c r="A882" t="s">
        <v>3668</v>
      </c>
      <c r="B882" s="1">
        <v>42786</v>
      </c>
      <c r="C882" s="1">
        <v>42793</v>
      </c>
      <c r="D882" s="1">
        <v>42767</v>
      </c>
      <c r="E882" t="s">
        <v>43</v>
      </c>
      <c r="F882" t="s">
        <v>688</v>
      </c>
      <c r="G882" t="s">
        <v>689</v>
      </c>
      <c r="H882" t="s">
        <v>22</v>
      </c>
      <c r="I882" t="s">
        <v>23</v>
      </c>
      <c r="J882" t="s">
        <v>3669</v>
      </c>
      <c r="K882" t="s">
        <v>255</v>
      </c>
      <c r="L882">
        <v>37211</v>
      </c>
      <c r="M882" t="s">
        <v>26</v>
      </c>
      <c r="N882" t="s">
        <v>3670</v>
      </c>
      <c r="O882" t="s">
        <v>39</v>
      </c>
      <c r="P882" t="s">
        <v>63</v>
      </c>
      <c r="Q882" t="s">
        <v>3671</v>
      </c>
      <c r="R882">
        <v>16496</v>
      </c>
    </row>
    <row r="883" spans="1:18" x14ac:dyDescent="0.3">
      <c r="A883" t="s">
        <v>3672</v>
      </c>
      <c r="B883" s="1">
        <v>43064</v>
      </c>
      <c r="C883" s="1">
        <v>43069</v>
      </c>
      <c r="D883" s="1">
        <v>43040</v>
      </c>
      <c r="E883" t="s">
        <v>43</v>
      </c>
      <c r="F883" t="s">
        <v>3673</v>
      </c>
      <c r="G883" t="s">
        <v>3674</v>
      </c>
      <c r="H883" t="s">
        <v>76</v>
      </c>
      <c r="I883" t="s">
        <v>23</v>
      </c>
      <c r="J883" t="s">
        <v>1007</v>
      </c>
      <c r="K883" t="s">
        <v>47</v>
      </c>
      <c r="L883">
        <v>32216</v>
      </c>
      <c r="M883" t="s">
        <v>26</v>
      </c>
      <c r="N883" t="s">
        <v>249</v>
      </c>
      <c r="O883" t="s">
        <v>39</v>
      </c>
      <c r="P883" t="s">
        <v>63</v>
      </c>
      <c r="Q883" t="s">
        <v>250</v>
      </c>
      <c r="R883">
        <v>508</v>
      </c>
    </row>
    <row r="884" spans="1:18" x14ac:dyDescent="0.3">
      <c r="A884" t="s">
        <v>3675</v>
      </c>
      <c r="B884" s="1">
        <v>43083</v>
      </c>
      <c r="C884" s="1">
        <v>43088</v>
      </c>
      <c r="D884" s="1">
        <v>43070</v>
      </c>
      <c r="E884" t="s">
        <v>43</v>
      </c>
      <c r="F884" t="s">
        <v>1409</v>
      </c>
      <c r="G884" t="s">
        <v>1410</v>
      </c>
      <c r="H884" t="s">
        <v>22</v>
      </c>
      <c r="I884" t="s">
        <v>23</v>
      </c>
      <c r="J884" t="s">
        <v>248</v>
      </c>
      <c r="K884" t="s">
        <v>984</v>
      </c>
      <c r="L884">
        <v>39212</v>
      </c>
      <c r="M884" t="s">
        <v>26</v>
      </c>
      <c r="N884" t="s">
        <v>3676</v>
      </c>
      <c r="O884" t="s">
        <v>28</v>
      </c>
      <c r="P884" t="s">
        <v>55</v>
      </c>
      <c r="Q884" t="s">
        <v>3677</v>
      </c>
      <c r="R884">
        <v>13338</v>
      </c>
    </row>
    <row r="885" spans="1:18" x14ac:dyDescent="0.3">
      <c r="A885" t="s">
        <v>3678</v>
      </c>
      <c r="B885" s="1">
        <v>42247</v>
      </c>
      <c r="C885" s="1">
        <v>42252</v>
      </c>
      <c r="D885" s="1">
        <v>42217</v>
      </c>
      <c r="E885" t="s">
        <v>43</v>
      </c>
      <c r="F885" t="s">
        <v>516</v>
      </c>
      <c r="G885" t="s">
        <v>517</v>
      </c>
      <c r="H885" t="s">
        <v>22</v>
      </c>
      <c r="I885" t="s">
        <v>23</v>
      </c>
      <c r="J885" t="s">
        <v>3679</v>
      </c>
      <c r="K885" t="s">
        <v>491</v>
      </c>
      <c r="L885">
        <v>87505</v>
      </c>
      <c r="M885" t="s">
        <v>37</v>
      </c>
      <c r="N885" t="s">
        <v>3680</v>
      </c>
      <c r="O885" t="s">
        <v>147</v>
      </c>
      <c r="P885" t="s">
        <v>180</v>
      </c>
      <c r="Q885" t="s">
        <v>3681</v>
      </c>
      <c r="R885">
        <v>9252</v>
      </c>
    </row>
    <row r="886" spans="1:18" x14ac:dyDescent="0.3">
      <c r="A886" t="s">
        <v>3682</v>
      </c>
      <c r="B886" s="1">
        <v>42101</v>
      </c>
      <c r="C886" s="1">
        <v>42104</v>
      </c>
      <c r="D886" s="1">
        <v>42095</v>
      </c>
      <c r="E886" t="s">
        <v>142</v>
      </c>
      <c r="F886" t="s">
        <v>1608</v>
      </c>
      <c r="G886" t="s">
        <v>1609</v>
      </c>
      <c r="H886" t="s">
        <v>22</v>
      </c>
      <c r="I886" t="s">
        <v>23</v>
      </c>
      <c r="J886" t="s">
        <v>2361</v>
      </c>
      <c r="K886" t="s">
        <v>1180</v>
      </c>
      <c r="L886">
        <v>36608</v>
      </c>
      <c r="M886" t="s">
        <v>26</v>
      </c>
      <c r="N886" t="s">
        <v>2570</v>
      </c>
      <c r="O886" t="s">
        <v>28</v>
      </c>
      <c r="P886" t="s">
        <v>55</v>
      </c>
      <c r="Q886" t="s">
        <v>2571</v>
      </c>
      <c r="R886">
        <v>896</v>
      </c>
    </row>
    <row r="887" spans="1:18" x14ac:dyDescent="0.3">
      <c r="A887" t="s">
        <v>3683</v>
      </c>
      <c r="B887" s="1">
        <v>43069</v>
      </c>
      <c r="C887" s="1">
        <v>43069</v>
      </c>
      <c r="D887" s="1">
        <v>43040</v>
      </c>
      <c r="E887" t="s">
        <v>857</v>
      </c>
      <c r="F887" t="s">
        <v>1146</v>
      </c>
      <c r="G887" t="s">
        <v>1147</v>
      </c>
      <c r="H887" t="s">
        <v>22</v>
      </c>
      <c r="I887" t="s">
        <v>23</v>
      </c>
      <c r="J887" t="s">
        <v>3684</v>
      </c>
      <c r="K887" t="s">
        <v>61</v>
      </c>
      <c r="L887">
        <v>28601</v>
      </c>
      <c r="M887" t="s">
        <v>26</v>
      </c>
      <c r="N887" t="s">
        <v>3685</v>
      </c>
      <c r="O887" t="s">
        <v>147</v>
      </c>
      <c r="P887" t="s">
        <v>148</v>
      </c>
      <c r="Q887" t="s">
        <v>3686</v>
      </c>
      <c r="R887">
        <v>36192</v>
      </c>
    </row>
    <row r="888" spans="1:18" x14ac:dyDescent="0.3">
      <c r="A888" t="s">
        <v>3687</v>
      </c>
      <c r="B888" s="1">
        <v>42175</v>
      </c>
      <c r="C888" s="1">
        <v>42179</v>
      </c>
      <c r="D888" s="1">
        <v>42156</v>
      </c>
      <c r="E888" t="s">
        <v>43</v>
      </c>
      <c r="F888" t="s">
        <v>3688</v>
      </c>
      <c r="G888" t="s">
        <v>3689</v>
      </c>
      <c r="H888" t="s">
        <v>22</v>
      </c>
      <c r="I888" t="s">
        <v>23</v>
      </c>
      <c r="J888" t="s">
        <v>3690</v>
      </c>
      <c r="K888" t="s">
        <v>78</v>
      </c>
      <c r="L888">
        <v>75023</v>
      </c>
      <c r="M888" t="s">
        <v>79</v>
      </c>
      <c r="N888" t="s">
        <v>3691</v>
      </c>
      <c r="O888" t="s">
        <v>147</v>
      </c>
      <c r="P888" t="s">
        <v>148</v>
      </c>
      <c r="Q888" t="s">
        <v>3692</v>
      </c>
      <c r="R888">
        <v>201584</v>
      </c>
    </row>
    <row r="889" spans="1:18" x14ac:dyDescent="0.3">
      <c r="A889" t="s">
        <v>3693</v>
      </c>
      <c r="B889" s="1">
        <v>43089</v>
      </c>
      <c r="C889" s="1">
        <v>43093</v>
      </c>
      <c r="D889" s="1">
        <v>43070</v>
      </c>
      <c r="E889" t="s">
        <v>43</v>
      </c>
      <c r="F889" t="s">
        <v>3694</v>
      </c>
      <c r="G889" t="s">
        <v>3695</v>
      </c>
      <c r="H889" t="s">
        <v>22</v>
      </c>
      <c r="I889" t="s">
        <v>23</v>
      </c>
      <c r="J889" t="s">
        <v>248</v>
      </c>
      <c r="K889" t="s">
        <v>984</v>
      </c>
      <c r="L889">
        <v>39212</v>
      </c>
      <c r="M889" t="s">
        <v>26</v>
      </c>
      <c r="N889" t="s">
        <v>545</v>
      </c>
      <c r="O889" t="s">
        <v>147</v>
      </c>
      <c r="P889" t="s">
        <v>180</v>
      </c>
      <c r="Q889" t="s">
        <v>546</v>
      </c>
      <c r="R889">
        <v>663</v>
      </c>
    </row>
    <row r="890" spans="1:18" x14ac:dyDescent="0.3">
      <c r="A890" t="s">
        <v>3696</v>
      </c>
      <c r="B890" s="1">
        <v>42956</v>
      </c>
      <c r="C890" s="1">
        <v>42959</v>
      </c>
      <c r="D890" s="1">
        <v>42948</v>
      </c>
      <c r="E890" t="s">
        <v>142</v>
      </c>
      <c r="F890" t="s">
        <v>441</v>
      </c>
      <c r="G890" t="s">
        <v>442</v>
      </c>
      <c r="H890" t="s">
        <v>22</v>
      </c>
      <c r="I890" t="s">
        <v>23</v>
      </c>
      <c r="J890" t="s">
        <v>3297</v>
      </c>
      <c r="K890" t="s">
        <v>61</v>
      </c>
      <c r="L890">
        <v>28314</v>
      </c>
      <c r="M890" t="s">
        <v>26</v>
      </c>
      <c r="N890" t="s">
        <v>3697</v>
      </c>
      <c r="O890" t="s">
        <v>39</v>
      </c>
      <c r="P890" t="s">
        <v>63</v>
      </c>
      <c r="Q890" t="s">
        <v>3698</v>
      </c>
      <c r="R890">
        <v>30816</v>
      </c>
    </row>
    <row r="891" spans="1:18" x14ac:dyDescent="0.3">
      <c r="A891" t="s">
        <v>3699</v>
      </c>
      <c r="B891" s="1">
        <v>42470</v>
      </c>
      <c r="C891" s="1">
        <v>42475</v>
      </c>
      <c r="D891" s="1">
        <v>42461</v>
      </c>
      <c r="E891" t="s">
        <v>43</v>
      </c>
      <c r="F891" t="s">
        <v>3700</v>
      </c>
      <c r="G891" t="s">
        <v>3701</v>
      </c>
      <c r="H891" t="s">
        <v>34</v>
      </c>
      <c r="I891" t="s">
        <v>23</v>
      </c>
      <c r="J891" t="s">
        <v>3702</v>
      </c>
      <c r="K891" t="s">
        <v>36</v>
      </c>
      <c r="L891">
        <v>95823</v>
      </c>
      <c r="M891" t="s">
        <v>37</v>
      </c>
      <c r="N891" t="s">
        <v>1008</v>
      </c>
      <c r="O891" t="s">
        <v>39</v>
      </c>
      <c r="P891" t="s">
        <v>71</v>
      </c>
      <c r="Q891" t="s">
        <v>1009</v>
      </c>
      <c r="R891">
        <v>12832</v>
      </c>
    </row>
    <row r="892" spans="1:18" x14ac:dyDescent="0.3">
      <c r="A892" t="s">
        <v>3703</v>
      </c>
      <c r="B892" s="1">
        <v>42910</v>
      </c>
      <c r="C892" s="1">
        <v>42915</v>
      </c>
      <c r="D892" s="1">
        <v>42887</v>
      </c>
      <c r="E892" t="s">
        <v>43</v>
      </c>
      <c r="F892" t="s">
        <v>2327</v>
      </c>
      <c r="G892" t="s">
        <v>2328</v>
      </c>
      <c r="H892" t="s">
        <v>22</v>
      </c>
      <c r="I892" t="s">
        <v>23</v>
      </c>
      <c r="J892" t="s">
        <v>663</v>
      </c>
      <c r="K892" t="s">
        <v>36</v>
      </c>
      <c r="L892">
        <v>92024</v>
      </c>
      <c r="M892" t="s">
        <v>37</v>
      </c>
      <c r="N892" t="s">
        <v>3704</v>
      </c>
      <c r="O892" t="s">
        <v>147</v>
      </c>
      <c r="P892" t="s">
        <v>148</v>
      </c>
      <c r="Q892" t="s">
        <v>3705</v>
      </c>
      <c r="R892">
        <v>3824</v>
      </c>
    </row>
    <row r="893" spans="1:18" x14ac:dyDescent="0.3">
      <c r="A893" t="s">
        <v>3706</v>
      </c>
      <c r="B893" s="1">
        <v>42112</v>
      </c>
      <c r="C893" s="1">
        <v>42117</v>
      </c>
      <c r="D893" s="1">
        <v>42095</v>
      </c>
      <c r="E893" t="s">
        <v>43</v>
      </c>
      <c r="F893" t="s">
        <v>1343</v>
      </c>
      <c r="G893" t="s">
        <v>1344</v>
      </c>
      <c r="H893" t="s">
        <v>22</v>
      </c>
      <c r="I893" t="s">
        <v>23</v>
      </c>
      <c r="J893" t="s">
        <v>35</v>
      </c>
      <c r="K893" t="s">
        <v>36</v>
      </c>
      <c r="L893">
        <v>90049</v>
      </c>
      <c r="M893" t="s">
        <v>37</v>
      </c>
      <c r="N893" t="s">
        <v>3707</v>
      </c>
      <c r="O893" t="s">
        <v>147</v>
      </c>
      <c r="P893" t="s">
        <v>680</v>
      </c>
      <c r="Q893" t="s">
        <v>3708</v>
      </c>
      <c r="R893">
        <v>287968</v>
      </c>
    </row>
    <row r="894" spans="1:18" x14ac:dyDescent="0.3">
      <c r="A894" t="s">
        <v>3709</v>
      </c>
      <c r="B894" s="1">
        <v>42823</v>
      </c>
      <c r="C894" s="1">
        <v>42827</v>
      </c>
      <c r="D894" s="1">
        <v>42795</v>
      </c>
      <c r="E894" t="s">
        <v>19</v>
      </c>
      <c r="F894" t="s">
        <v>2364</v>
      </c>
      <c r="G894" t="s">
        <v>2365</v>
      </c>
      <c r="H894" t="s">
        <v>76</v>
      </c>
      <c r="I894" t="s">
        <v>23</v>
      </c>
      <c r="J894" t="s">
        <v>225</v>
      </c>
      <c r="K894" t="s">
        <v>160</v>
      </c>
      <c r="L894">
        <v>60653</v>
      </c>
      <c r="M894" t="s">
        <v>79</v>
      </c>
      <c r="N894" t="s">
        <v>3710</v>
      </c>
      <c r="O894" t="s">
        <v>39</v>
      </c>
      <c r="P894" t="s">
        <v>63</v>
      </c>
      <c r="Q894" t="s">
        <v>3711</v>
      </c>
      <c r="R894">
        <v>45528</v>
      </c>
    </row>
    <row r="895" spans="1:18" x14ac:dyDescent="0.3">
      <c r="A895" t="s">
        <v>3712</v>
      </c>
      <c r="B895" s="1">
        <v>42086</v>
      </c>
      <c r="C895" s="1">
        <v>42089</v>
      </c>
      <c r="D895" s="1">
        <v>42064</v>
      </c>
      <c r="E895" t="s">
        <v>19</v>
      </c>
      <c r="F895" t="s">
        <v>183</v>
      </c>
      <c r="G895" t="s">
        <v>184</v>
      </c>
      <c r="H895" t="s">
        <v>22</v>
      </c>
      <c r="I895" t="s">
        <v>23</v>
      </c>
      <c r="J895" t="s">
        <v>35</v>
      </c>
      <c r="K895" t="s">
        <v>36</v>
      </c>
      <c r="L895">
        <v>90036</v>
      </c>
      <c r="M895" t="s">
        <v>37</v>
      </c>
      <c r="N895" t="s">
        <v>1346</v>
      </c>
      <c r="O895" t="s">
        <v>39</v>
      </c>
      <c r="P895" t="s">
        <v>89</v>
      </c>
      <c r="Q895" t="s">
        <v>1347</v>
      </c>
      <c r="R895">
        <v>3304</v>
      </c>
    </row>
    <row r="896" spans="1:18" x14ac:dyDescent="0.3">
      <c r="A896" t="s">
        <v>3713</v>
      </c>
      <c r="B896" s="1">
        <v>42919</v>
      </c>
      <c r="C896" s="1">
        <v>42922</v>
      </c>
      <c r="D896" s="1">
        <v>42917</v>
      </c>
      <c r="E896" t="s">
        <v>142</v>
      </c>
      <c r="F896" t="s">
        <v>864</v>
      </c>
      <c r="G896" t="s">
        <v>865</v>
      </c>
      <c r="H896" t="s">
        <v>22</v>
      </c>
      <c r="I896" t="s">
        <v>23</v>
      </c>
      <c r="J896" t="s">
        <v>35</v>
      </c>
      <c r="K896" t="s">
        <v>36</v>
      </c>
      <c r="L896">
        <v>90049</v>
      </c>
      <c r="M896" t="s">
        <v>37</v>
      </c>
      <c r="N896" t="s">
        <v>3714</v>
      </c>
      <c r="O896" t="s">
        <v>39</v>
      </c>
      <c r="P896" t="s">
        <v>63</v>
      </c>
      <c r="Q896" t="s">
        <v>3715</v>
      </c>
      <c r="R896">
        <v>1296</v>
      </c>
    </row>
    <row r="897" spans="1:18" x14ac:dyDescent="0.3">
      <c r="A897" t="s">
        <v>3716</v>
      </c>
      <c r="B897" s="1">
        <v>42714</v>
      </c>
      <c r="C897" s="1">
        <v>42720</v>
      </c>
      <c r="D897" s="1">
        <v>42705</v>
      </c>
      <c r="E897" t="s">
        <v>43</v>
      </c>
      <c r="F897" t="s">
        <v>3717</v>
      </c>
      <c r="G897" t="s">
        <v>3718</v>
      </c>
      <c r="H897" t="s">
        <v>34</v>
      </c>
      <c r="I897" t="s">
        <v>23</v>
      </c>
      <c r="J897" t="s">
        <v>248</v>
      </c>
      <c r="K897" t="s">
        <v>186</v>
      </c>
      <c r="L897">
        <v>49201</v>
      </c>
      <c r="M897" t="s">
        <v>79</v>
      </c>
      <c r="N897" t="s">
        <v>3719</v>
      </c>
      <c r="O897" t="s">
        <v>39</v>
      </c>
      <c r="P897" t="s">
        <v>103</v>
      </c>
      <c r="Q897" t="s">
        <v>3720</v>
      </c>
      <c r="R897">
        <v>39</v>
      </c>
    </row>
    <row r="898" spans="1:18" x14ac:dyDescent="0.3">
      <c r="A898" t="s">
        <v>3721</v>
      </c>
      <c r="B898" s="1">
        <v>43068</v>
      </c>
      <c r="C898" s="1">
        <v>43070</v>
      </c>
      <c r="D898" s="1">
        <v>43040</v>
      </c>
      <c r="E898" t="s">
        <v>19</v>
      </c>
      <c r="F898" t="s">
        <v>3722</v>
      </c>
      <c r="G898" t="s">
        <v>3723</v>
      </c>
      <c r="H898" t="s">
        <v>34</v>
      </c>
      <c r="I898" t="s">
        <v>23</v>
      </c>
      <c r="J898" t="s">
        <v>590</v>
      </c>
      <c r="K898" t="s">
        <v>78</v>
      </c>
      <c r="L898">
        <v>75217</v>
      </c>
      <c r="M898" t="s">
        <v>79</v>
      </c>
      <c r="N898" t="s">
        <v>3724</v>
      </c>
      <c r="O898" t="s">
        <v>147</v>
      </c>
      <c r="P898" t="s">
        <v>180</v>
      </c>
      <c r="Q898" t="s">
        <v>3725</v>
      </c>
      <c r="R898">
        <v>58416</v>
      </c>
    </row>
    <row r="899" spans="1:18" x14ac:dyDescent="0.3">
      <c r="A899" t="s">
        <v>3726</v>
      </c>
      <c r="B899" s="1">
        <v>43000</v>
      </c>
      <c r="C899" s="1">
        <v>43007</v>
      </c>
      <c r="D899" s="1">
        <v>42979</v>
      </c>
      <c r="E899" t="s">
        <v>43</v>
      </c>
      <c r="F899" t="s">
        <v>429</v>
      </c>
      <c r="G899" t="s">
        <v>430</v>
      </c>
      <c r="H899" t="s">
        <v>34</v>
      </c>
      <c r="I899" t="s">
        <v>23</v>
      </c>
      <c r="J899" t="s">
        <v>2290</v>
      </c>
      <c r="K899" t="s">
        <v>255</v>
      </c>
      <c r="L899">
        <v>37167</v>
      </c>
      <c r="M899" t="s">
        <v>26</v>
      </c>
      <c r="N899" t="s">
        <v>3286</v>
      </c>
      <c r="O899" t="s">
        <v>39</v>
      </c>
      <c r="P899" t="s">
        <v>103</v>
      </c>
      <c r="Q899" t="s">
        <v>3287</v>
      </c>
      <c r="R899">
        <v>40776</v>
      </c>
    </row>
    <row r="900" spans="1:18" x14ac:dyDescent="0.3">
      <c r="A900" t="s">
        <v>3727</v>
      </c>
      <c r="B900" s="1">
        <v>43223</v>
      </c>
      <c r="C900" s="1">
        <v>43228</v>
      </c>
      <c r="D900" s="1">
        <v>43221</v>
      </c>
      <c r="E900" t="s">
        <v>19</v>
      </c>
      <c r="F900" t="s">
        <v>3728</v>
      </c>
      <c r="G900" t="s">
        <v>3729</v>
      </c>
      <c r="H900" t="s">
        <v>34</v>
      </c>
      <c r="I900" t="s">
        <v>23</v>
      </c>
      <c r="J900" t="s">
        <v>35</v>
      </c>
      <c r="K900" t="s">
        <v>36</v>
      </c>
      <c r="L900">
        <v>90004</v>
      </c>
      <c r="M900" t="s">
        <v>37</v>
      </c>
      <c r="N900" t="s">
        <v>2763</v>
      </c>
      <c r="O900" t="s">
        <v>39</v>
      </c>
      <c r="P900" t="s">
        <v>89</v>
      </c>
      <c r="Q900" t="s">
        <v>2764</v>
      </c>
      <c r="R900">
        <v>6952</v>
      </c>
    </row>
    <row r="901" spans="1:18" x14ac:dyDescent="0.3">
      <c r="A901" t="s">
        <v>3730</v>
      </c>
      <c r="B901" s="1">
        <v>42441</v>
      </c>
      <c r="C901" s="1">
        <v>42446</v>
      </c>
      <c r="D901" s="1">
        <v>42430</v>
      </c>
      <c r="E901" t="s">
        <v>43</v>
      </c>
      <c r="F901" t="s">
        <v>2490</v>
      </c>
      <c r="G901" t="s">
        <v>2491</v>
      </c>
      <c r="H901" t="s">
        <v>34</v>
      </c>
      <c r="I901" t="s">
        <v>23</v>
      </c>
      <c r="J901" t="s">
        <v>3731</v>
      </c>
      <c r="K901" t="s">
        <v>47</v>
      </c>
      <c r="L901">
        <v>33317</v>
      </c>
      <c r="M901" t="s">
        <v>26</v>
      </c>
      <c r="N901" t="s">
        <v>3311</v>
      </c>
      <c r="O901" t="s">
        <v>39</v>
      </c>
      <c r="P901" t="s">
        <v>154</v>
      </c>
      <c r="Q901" t="s">
        <v>3312</v>
      </c>
      <c r="R901">
        <v>8688</v>
      </c>
    </row>
    <row r="902" spans="1:18" x14ac:dyDescent="0.3">
      <c r="A902" t="s">
        <v>3732</v>
      </c>
      <c r="B902" s="1">
        <v>42899</v>
      </c>
      <c r="C902" s="1">
        <v>42901</v>
      </c>
      <c r="D902" s="1">
        <v>42887</v>
      </c>
      <c r="E902" t="s">
        <v>19</v>
      </c>
      <c r="F902" t="s">
        <v>3733</v>
      </c>
      <c r="G902" t="s">
        <v>3734</v>
      </c>
      <c r="H902" t="s">
        <v>76</v>
      </c>
      <c r="I902" t="s">
        <v>23</v>
      </c>
      <c r="J902" t="s">
        <v>248</v>
      </c>
      <c r="K902" t="s">
        <v>186</v>
      </c>
      <c r="L902">
        <v>49201</v>
      </c>
      <c r="M902" t="s">
        <v>79</v>
      </c>
      <c r="N902" t="s">
        <v>3735</v>
      </c>
      <c r="O902" t="s">
        <v>147</v>
      </c>
      <c r="P902" t="s">
        <v>148</v>
      </c>
      <c r="Q902" t="s">
        <v>3736</v>
      </c>
      <c r="R902">
        <v>37797</v>
      </c>
    </row>
    <row r="903" spans="1:18" x14ac:dyDescent="0.3">
      <c r="A903" t="s">
        <v>3737</v>
      </c>
      <c r="B903" s="1">
        <v>42709</v>
      </c>
      <c r="C903" s="1">
        <v>42713</v>
      </c>
      <c r="D903" s="1">
        <v>42705</v>
      </c>
      <c r="E903" t="s">
        <v>43</v>
      </c>
      <c r="F903" t="s">
        <v>3043</v>
      </c>
      <c r="G903" t="s">
        <v>3044</v>
      </c>
      <c r="H903" t="s">
        <v>34</v>
      </c>
      <c r="I903" t="s">
        <v>23</v>
      </c>
      <c r="J903" t="s">
        <v>663</v>
      </c>
      <c r="K903" t="s">
        <v>36</v>
      </c>
      <c r="L903">
        <v>92105</v>
      </c>
      <c r="M903" t="s">
        <v>37</v>
      </c>
      <c r="N903" t="s">
        <v>1583</v>
      </c>
      <c r="O903" t="s">
        <v>28</v>
      </c>
      <c r="P903" t="s">
        <v>55</v>
      </c>
      <c r="Q903" t="s">
        <v>1584</v>
      </c>
      <c r="R903">
        <v>4446</v>
      </c>
    </row>
    <row r="904" spans="1:18" x14ac:dyDescent="0.3">
      <c r="A904" t="s">
        <v>3738</v>
      </c>
      <c r="B904" s="1">
        <v>42693</v>
      </c>
      <c r="C904" s="1">
        <v>42695</v>
      </c>
      <c r="D904" s="1">
        <v>42675</v>
      </c>
      <c r="E904" t="s">
        <v>19</v>
      </c>
      <c r="F904" t="s">
        <v>3739</v>
      </c>
      <c r="G904" t="s">
        <v>3740</v>
      </c>
      <c r="H904" t="s">
        <v>76</v>
      </c>
      <c r="I904" t="s">
        <v>23</v>
      </c>
      <c r="J904" t="s">
        <v>68</v>
      </c>
      <c r="K904" t="s">
        <v>69</v>
      </c>
      <c r="L904">
        <v>98115</v>
      </c>
      <c r="M904" t="s">
        <v>37</v>
      </c>
      <c r="N904" t="s">
        <v>3741</v>
      </c>
      <c r="O904" t="s">
        <v>28</v>
      </c>
      <c r="P904" t="s">
        <v>55</v>
      </c>
      <c r="Q904" t="s">
        <v>3742</v>
      </c>
      <c r="R904">
        <v>14196</v>
      </c>
    </row>
    <row r="905" spans="1:18" x14ac:dyDescent="0.3">
      <c r="A905" t="s">
        <v>3743</v>
      </c>
      <c r="B905" s="1">
        <v>43426</v>
      </c>
      <c r="C905" s="1">
        <v>43430</v>
      </c>
      <c r="D905" s="1">
        <v>43405</v>
      </c>
      <c r="E905" t="s">
        <v>43</v>
      </c>
      <c r="F905" t="s">
        <v>3744</v>
      </c>
      <c r="G905" t="s">
        <v>3745</v>
      </c>
      <c r="H905" t="s">
        <v>22</v>
      </c>
      <c r="I905" t="s">
        <v>23</v>
      </c>
      <c r="J905" t="s">
        <v>138</v>
      </c>
      <c r="K905" t="s">
        <v>78</v>
      </c>
      <c r="L905">
        <v>77070</v>
      </c>
      <c r="M905" t="s">
        <v>79</v>
      </c>
      <c r="N905" t="s">
        <v>818</v>
      </c>
      <c r="O905" t="s">
        <v>39</v>
      </c>
      <c r="P905" t="s">
        <v>103</v>
      </c>
      <c r="Q905" t="s">
        <v>819</v>
      </c>
      <c r="R905">
        <v>35712</v>
      </c>
    </row>
    <row r="906" spans="1:18" x14ac:dyDescent="0.3">
      <c r="A906" t="s">
        <v>3746</v>
      </c>
      <c r="B906" s="1">
        <v>43165</v>
      </c>
      <c r="C906" s="1">
        <v>43170</v>
      </c>
      <c r="D906" s="1">
        <v>43160</v>
      </c>
      <c r="E906" t="s">
        <v>19</v>
      </c>
      <c r="F906" t="s">
        <v>3747</v>
      </c>
      <c r="G906" t="s">
        <v>3748</v>
      </c>
      <c r="H906" t="s">
        <v>22</v>
      </c>
      <c r="I906" t="s">
        <v>23</v>
      </c>
      <c r="J906" t="s">
        <v>206</v>
      </c>
      <c r="K906" t="s">
        <v>207</v>
      </c>
      <c r="L906">
        <v>10011</v>
      </c>
      <c r="M906" t="s">
        <v>117</v>
      </c>
      <c r="N906" t="s">
        <v>3749</v>
      </c>
      <c r="O906" t="s">
        <v>39</v>
      </c>
      <c r="P906" t="s">
        <v>63</v>
      </c>
      <c r="Q906" t="s">
        <v>3750</v>
      </c>
      <c r="R906">
        <v>2638</v>
      </c>
    </row>
    <row r="907" spans="1:18" x14ac:dyDescent="0.3">
      <c r="A907" t="s">
        <v>3751</v>
      </c>
      <c r="B907" s="1">
        <v>42794</v>
      </c>
      <c r="C907" s="1">
        <v>42798</v>
      </c>
      <c r="D907" s="1">
        <v>42767</v>
      </c>
      <c r="E907" t="s">
        <v>43</v>
      </c>
      <c r="F907" t="s">
        <v>343</v>
      </c>
      <c r="G907" t="s">
        <v>344</v>
      </c>
      <c r="H907" t="s">
        <v>22</v>
      </c>
      <c r="I907" t="s">
        <v>23</v>
      </c>
      <c r="J907" t="s">
        <v>447</v>
      </c>
      <c r="K907" t="s">
        <v>377</v>
      </c>
      <c r="L907">
        <v>43055</v>
      </c>
      <c r="M907" t="s">
        <v>117</v>
      </c>
      <c r="N907" t="s">
        <v>3752</v>
      </c>
      <c r="O907" t="s">
        <v>39</v>
      </c>
      <c r="P907" t="s">
        <v>103</v>
      </c>
      <c r="Q907" t="s">
        <v>3753</v>
      </c>
      <c r="R907">
        <v>111104</v>
      </c>
    </row>
    <row r="908" spans="1:18" x14ac:dyDescent="0.3">
      <c r="A908" t="s">
        <v>3754</v>
      </c>
      <c r="B908" s="1">
        <v>43156</v>
      </c>
      <c r="C908" s="1">
        <v>43161</v>
      </c>
      <c r="D908" s="1">
        <v>43132</v>
      </c>
      <c r="E908" t="s">
        <v>43</v>
      </c>
      <c r="F908" t="s">
        <v>3755</v>
      </c>
      <c r="G908" t="s">
        <v>3756</v>
      </c>
      <c r="H908" t="s">
        <v>22</v>
      </c>
      <c r="I908" t="s">
        <v>23</v>
      </c>
      <c r="J908" t="s">
        <v>225</v>
      </c>
      <c r="K908" t="s">
        <v>160</v>
      </c>
      <c r="L908">
        <v>60623</v>
      </c>
      <c r="M908" t="s">
        <v>79</v>
      </c>
      <c r="N908" t="s">
        <v>3757</v>
      </c>
      <c r="O908" t="s">
        <v>39</v>
      </c>
      <c r="P908" t="s">
        <v>71</v>
      </c>
      <c r="Q908" t="s">
        <v>3758</v>
      </c>
      <c r="R908">
        <v>1788</v>
      </c>
    </row>
    <row r="909" spans="1:18" x14ac:dyDescent="0.3">
      <c r="A909" t="s">
        <v>3759</v>
      </c>
      <c r="B909" s="1">
        <v>43086</v>
      </c>
      <c r="C909" s="1">
        <v>43090</v>
      </c>
      <c r="D909" s="1">
        <v>43070</v>
      </c>
      <c r="E909" t="s">
        <v>43</v>
      </c>
      <c r="F909" t="s">
        <v>1965</v>
      </c>
      <c r="G909" t="s">
        <v>1966</v>
      </c>
      <c r="H909" t="s">
        <v>22</v>
      </c>
      <c r="I909" t="s">
        <v>23</v>
      </c>
      <c r="J909" t="s">
        <v>101</v>
      </c>
      <c r="K909" t="s">
        <v>36</v>
      </c>
      <c r="L909">
        <v>94122</v>
      </c>
      <c r="M909" t="s">
        <v>37</v>
      </c>
      <c r="N909" t="s">
        <v>3760</v>
      </c>
      <c r="O909" t="s">
        <v>28</v>
      </c>
      <c r="P909" t="s">
        <v>49</v>
      </c>
      <c r="Q909" t="s">
        <v>3761</v>
      </c>
      <c r="R909">
        <v>200352</v>
      </c>
    </row>
    <row r="910" spans="1:18" x14ac:dyDescent="0.3">
      <c r="A910" t="s">
        <v>3762</v>
      </c>
      <c r="B910" s="1">
        <v>42222</v>
      </c>
      <c r="C910" s="1">
        <v>42227</v>
      </c>
      <c r="D910" s="1">
        <v>42217</v>
      </c>
      <c r="E910" t="s">
        <v>19</v>
      </c>
      <c r="F910" t="s">
        <v>1502</v>
      </c>
      <c r="G910" t="s">
        <v>1503</v>
      </c>
      <c r="H910" t="s">
        <v>22</v>
      </c>
      <c r="I910" t="s">
        <v>23</v>
      </c>
      <c r="J910" t="s">
        <v>283</v>
      </c>
      <c r="K910" t="s">
        <v>284</v>
      </c>
      <c r="L910">
        <v>29203</v>
      </c>
      <c r="M910" t="s">
        <v>26</v>
      </c>
      <c r="N910" t="s">
        <v>3763</v>
      </c>
      <c r="O910" t="s">
        <v>147</v>
      </c>
      <c r="P910" t="s">
        <v>180</v>
      </c>
      <c r="Q910" t="s">
        <v>3764</v>
      </c>
      <c r="R910">
        <v>6291</v>
      </c>
    </row>
    <row r="911" spans="1:18" x14ac:dyDescent="0.3">
      <c r="A911" t="s">
        <v>3765</v>
      </c>
      <c r="B911" s="1">
        <v>42105</v>
      </c>
      <c r="C911" s="1">
        <v>42107</v>
      </c>
      <c r="D911" s="1">
        <v>42095</v>
      </c>
      <c r="E911" t="s">
        <v>19</v>
      </c>
      <c r="F911" t="s">
        <v>1431</v>
      </c>
      <c r="G911" t="s">
        <v>1432</v>
      </c>
      <c r="H911" t="s">
        <v>22</v>
      </c>
      <c r="I911" t="s">
        <v>23</v>
      </c>
      <c r="J911" t="s">
        <v>952</v>
      </c>
      <c r="K911" t="s">
        <v>47</v>
      </c>
      <c r="L911">
        <v>33180</v>
      </c>
      <c r="M911" t="s">
        <v>26</v>
      </c>
      <c r="N911" t="s">
        <v>3766</v>
      </c>
      <c r="O911" t="s">
        <v>39</v>
      </c>
      <c r="P911" t="s">
        <v>209</v>
      </c>
      <c r="Q911" t="s">
        <v>3767</v>
      </c>
      <c r="R911">
        <v>6912</v>
      </c>
    </row>
    <row r="912" spans="1:18" x14ac:dyDescent="0.3">
      <c r="A912" t="s">
        <v>3768</v>
      </c>
      <c r="B912" s="1">
        <v>42493</v>
      </c>
      <c r="C912" s="1">
        <v>42498</v>
      </c>
      <c r="D912" s="1">
        <v>42491</v>
      </c>
      <c r="E912" t="s">
        <v>43</v>
      </c>
      <c r="F912" t="s">
        <v>3493</v>
      </c>
      <c r="G912" t="s">
        <v>3494</v>
      </c>
      <c r="H912" t="s">
        <v>76</v>
      </c>
      <c r="I912" t="s">
        <v>23</v>
      </c>
      <c r="J912" t="s">
        <v>3769</v>
      </c>
      <c r="K912" t="s">
        <v>36</v>
      </c>
      <c r="L912">
        <v>91911</v>
      </c>
      <c r="M912" t="s">
        <v>37</v>
      </c>
      <c r="N912" t="s">
        <v>3128</v>
      </c>
      <c r="O912" t="s">
        <v>28</v>
      </c>
      <c r="P912" t="s">
        <v>55</v>
      </c>
      <c r="Q912" t="s">
        <v>3129</v>
      </c>
      <c r="R912">
        <v>66588</v>
      </c>
    </row>
    <row r="913" spans="1:18" x14ac:dyDescent="0.3">
      <c r="A913" t="s">
        <v>3770</v>
      </c>
      <c r="B913" s="1">
        <v>43147</v>
      </c>
      <c r="C913" s="1">
        <v>43151</v>
      </c>
      <c r="D913" s="1">
        <v>43132</v>
      </c>
      <c r="E913" t="s">
        <v>43</v>
      </c>
      <c r="F913" t="s">
        <v>950</v>
      </c>
      <c r="G913" t="s">
        <v>951</v>
      </c>
      <c r="H913" t="s">
        <v>22</v>
      </c>
      <c r="I913" t="s">
        <v>23</v>
      </c>
      <c r="J913" t="s">
        <v>206</v>
      </c>
      <c r="K913" t="s">
        <v>207</v>
      </c>
      <c r="L913">
        <v>10035</v>
      </c>
      <c r="M913" t="s">
        <v>117</v>
      </c>
      <c r="N913" t="s">
        <v>3771</v>
      </c>
      <c r="O913" t="s">
        <v>39</v>
      </c>
      <c r="P913" t="s">
        <v>63</v>
      </c>
      <c r="Q913" t="s">
        <v>3772</v>
      </c>
      <c r="R913">
        <v>3794</v>
      </c>
    </row>
    <row r="914" spans="1:18" x14ac:dyDescent="0.3">
      <c r="A914" t="s">
        <v>3773</v>
      </c>
      <c r="B914" s="1">
        <v>42324</v>
      </c>
      <c r="C914" s="1">
        <v>42328</v>
      </c>
      <c r="D914" s="1">
        <v>42309</v>
      </c>
      <c r="E914" t="s">
        <v>43</v>
      </c>
      <c r="F914" t="s">
        <v>3062</v>
      </c>
      <c r="G914" t="s">
        <v>3063</v>
      </c>
      <c r="H914" t="s">
        <v>76</v>
      </c>
      <c r="I914" t="s">
        <v>23</v>
      </c>
      <c r="J914" t="s">
        <v>3774</v>
      </c>
      <c r="K914" t="s">
        <v>3775</v>
      </c>
      <c r="L914">
        <v>66502</v>
      </c>
      <c r="M914" t="s">
        <v>79</v>
      </c>
      <c r="N914" t="s">
        <v>3776</v>
      </c>
      <c r="O914" t="s">
        <v>147</v>
      </c>
      <c r="P914" t="s">
        <v>148</v>
      </c>
      <c r="Q914" t="s">
        <v>3777</v>
      </c>
      <c r="R914">
        <v>27396</v>
      </c>
    </row>
    <row r="915" spans="1:18" x14ac:dyDescent="0.3">
      <c r="A915" t="s">
        <v>3778</v>
      </c>
      <c r="B915" s="1">
        <v>42982</v>
      </c>
      <c r="C915" s="1">
        <v>42987</v>
      </c>
      <c r="D915" s="1">
        <v>42979</v>
      </c>
      <c r="E915" t="s">
        <v>43</v>
      </c>
      <c r="F915" t="s">
        <v>3020</v>
      </c>
      <c r="G915" t="s">
        <v>3021</v>
      </c>
      <c r="H915" t="s">
        <v>22</v>
      </c>
      <c r="I915" t="s">
        <v>23</v>
      </c>
      <c r="J915" t="s">
        <v>138</v>
      </c>
      <c r="K915" t="s">
        <v>78</v>
      </c>
      <c r="L915">
        <v>77041</v>
      </c>
      <c r="M915" t="s">
        <v>79</v>
      </c>
      <c r="N915" t="s">
        <v>3779</v>
      </c>
      <c r="O915" t="s">
        <v>39</v>
      </c>
      <c r="P915" t="s">
        <v>103</v>
      </c>
      <c r="Q915" t="s">
        <v>3780</v>
      </c>
      <c r="R915">
        <v>3912</v>
      </c>
    </row>
    <row r="916" spans="1:18" x14ac:dyDescent="0.3">
      <c r="A916" t="s">
        <v>3781</v>
      </c>
      <c r="B916" s="1">
        <v>42427</v>
      </c>
      <c r="C916" s="1">
        <v>42428</v>
      </c>
      <c r="D916" s="1">
        <v>42401</v>
      </c>
      <c r="E916" t="s">
        <v>142</v>
      </c>
      <c r="F916" t="s">
        <v>3782</v>
      </c>
      <c r="G916" t="s">
        <v>3783</v>
      </c>
      <c r="H916" t="s">
        <v>34</v>
      </c>
      <c r="I916" t="s">
        <v>23</v>
      </c>
      <c r="J916" t="s">
        <v>3784</v>
      </c>
      <c r="K916" t="s">
        <v>116</v>
      </c>
      <c r="L916">
        <v>16602</v>
      </c>
      <c r="M916" t="s">
        <v>117</v>
      </c>
      <c r="N916" t="s">
        <v>573</v>
      </c>
      <c r="O916" t="s">
        <v>39</v>
      </c>
      <c r="P916" t="s">
        <v>71</v>
      </c>
      <c r="Q916" t="s">
        <v>574</v>
      </c>
      <c r="R916">
        <v>4419</v>
      </c>
    </row>
    <row r="917" spans="1:18" x14ac:dyDescent="0.3">
      <c r="A917" t="s">
        <v>3785</v>
      </c>
      <c r="B917" s="1">
        <v>42031</v>
      </c>
      <c r="C917" s="1">
        <v>42037</v>
      </c>
      <c r="D917" s="1">
        <v>42005</v>
      </c>
      <c r="E917" t="s">
        <v>43</v>
      </c>
      <c r="F917" t="s">
        <v>3786</v>
      </c>
      <c r="G917" t="s">
        <v>3787</v>
      </c>
      <c r="H917" t="s">
        <v>22</v>
      </c>
      <c r="I917" t="s">
        <v>23</v>
      </c>
      <c r="J917" t="s">
        <v>663</v>
      </c>
      <c r="K917" t="s">
        <v>36</v>
      </c>
      <c r="L917">
        <v>92037</v>
      </c>
      <c r="M917" t="s">
        <v>37</v>
      </c>
      <c r="N917" t="s">
        <v>3536</v>
      </c>
      <c r="O917" t="s">
        <v>39</v>
      </c>
      <c r="P917" t="s">
        <v>89</v>
      </c>
      <c r="Q917" t="s">
        <v>3537</v>
      </c>
      <c r="R917">
        <v>5723</v>
      </c>
    </row>
    <row r="918" spans="1:18" x14ac:dyDescent="0.3">
      <c r="A918" t="s">
        <v>3788</v>
      </c>
      <c r="B918" s="1">
        <v>43164</v>
      </c>
      <c r="C918" s="1">
        <v>43164</v>
      </c>
      <c r="D918" s="1">
        <v>43160</v>
      </c>
      <c r="E918" t="s">
        <v>857</v>
      </c>
      <c r="F918" t="s">
        <v>84</v>
      </c>
      <c r="G918" t="s">
        <v>85</v>
      </c>
      <c r="H918" t="s">
        <v>22</v>
      </c>
      <c r="I918" t="s">
        <v>23</v>
      </c>
      <c r="J918" t="s">
        <v>1614</v>
      </c>
      <c r="K918" t="s">
        <v>87</v>
      </c>
      <c r="L918">
        <v>53209</v>
      </c>
      <c r="M918" t="s">
        <v>79</v>
      </c>
      <c r="N918" t="s">
        <v>3789</v>
      </c>
      <c r="O918" t="s">
        <v>39</v>
      </c>
      <c r="P918" t="s">
        <v>40</v>
      </c>
      <c r="Q918" t="s">
        <v>3790</v>
      </c>
      <c r="R918">
        <v>2506</v>
      </c>
    </row>
    <row r="919" spans="1:18" x14ac:dyDescent="0.3">
      <c r="A919" t="s">
        <v>3791</v>
      </c>
      <c r="B919" s="1">
        <v>43227</v>
      </c>
      <c r="C919" s="1">
        <v>43231</v>
      </c>
      <c r="D919" s="1">
        <v>43221</v>
      </c>
      <c r="E919" t="s">
        <v>43</v>
      </c>
      <c r="F919" t="s">
        <v>3792</v>
      </c>
      <c r="G919" t="s">
        <v>3793</v>
      </c>
      <c r="H919" t="s">
        <v>34</v>
      </c>
      <c r="I919" t="s">
        <v>23</v>
      </c>
      <c r="J919" t="s">
        <v>628</v>
      </c>
      <c r="K919" t="s">
        <v>186</v>
      </c>
      <c r="L919">
        <v>48234</v>
      </c>
      <c r="M919" t="s">
        <v>79</v>
      </c>
      <c r="N919" t="s">
        <v>1869</v>
      </c>
      <c r="O919" t="s">
        <v>28</v>
      </c>
      <c r="P919" t="s">
        <v>119</v>
      </c>
      <c r="Q919" t="s">
        <v>1870</v>
      </c>
      <c r="R919">
        <v>145865</v>
      </c>
    </row>
    <row r="920" spans="1:18" x14ac:dyDescent="0.3">
      <c r="A920" t="s">
        <v>3794</v>
      </c>
      <c r="B920" s="1">
        <v>42102</v>
      </c>
      <c r="C920" s="1">
        <v>42109</v>
      </c>
      <c r="D920" s="1">
        <v>42095</v>
      </c>
      <c r="E920" t="s">
        <v>43</v>
      </c>
      <c r="F920" t="s">
        <v>2456</v>
      </c>
      <c r="G920" t="s">
        <v>2457</v>
      </c>
      <c r="H920" t="s">
        <v>34</v>
      </c>
      <c r="I920" t="s">
        <v>23</v>
      </c>
      <c r="J920" t="s">
        <v>3795</v>
      </c>
      <c r="K920" t="s">
        <v>232</v>
      </c>
      <c r="L920">
        <v>85301</v>
      </c>
      <c r="M920" t="s">
        <v>37</v>
      </c>
      <c r="N920" t="s">
        <v>3796</v>
      </c>
      <c r="O920" t="s">
        <v>39</v>
      </c>
      <c r="P920" t="s">
        <v>209</v>
      </c>
      <c r="Q920" t="s">
        <v>3797</v>
      </c>
      <c r="R920">
        <v>2368</v>
      </c>
    </row>
    <row r="921" spans="1:18" x14ac:dyDescent="0.3">
      <c r="A921" t="s">
        <v>3798</v>
      </c>
      <c r="B921" s="1">
        <v>42305</v>
      </c>
      <c r="C921" s="1">
        <v>42308</v>
      </c>
      <c r="D921" s="1">
        <v>42278</v>
      </c>
      <c r="E921" t="s">
        <v>142</v>
      </c>
      <c r="F921" t="s">
        <v>3533</v>
      </c>
      <c r="G921" t="s">
        <v>3534</v>
      </c>
      <c r="H921" t="s">
        <v>34</v>
      </c>
      <c r="I921" t="s">
        <v>23</v>
      </c>
      <c r="J921" t="s">
        <v>35</v>
      </c>
      <c r="K921" t="s">
        <v>36</v>
      </c>
      <c r="L921">
        <v>90049</v>
      </c>
      <c r="M921" t="s">
        <v>37</v>
      </c>
      <c r="N921" t="s">
        <v>3799</v>
      </c>
      <c r="O921" t="s">
        <v>39</v>
      </c>
      <c r="P921" t="s">
        <v>71</v>
      </c>
      <c r="Q921" t="s">
        <v>3800</v>
      </c>
      <c r="R921">
        <v>7184</v>
      </c>
    </row>
    <row r="922" spans="1:18" x14ac:dyDescent="0.3">
      <c r="A922" t="s">
        <v>3801</v>
      </c>
      <c r="B922" s="1">
        <v>43429</v>
      </c>
      <c r="C922" s="1">
        <v>43431</v>
      </c>
      <c r="D922" s="1">
        <v>43405</v>
      </c>
      <c r="E922" t="s">
        <v>19</v>
      </c>
      <c r="F922" t="s">
        <v>3802</v>
      </c>
      <c r="G922" t="s">
        <v>3803</v>
      </c>
      <c r="H922" t="s">
        <v>76</v>
      </c>
      <c r="I922" t="s">
        <v>23</v>
      </c>
      <c r="J922" t="s">
        <v>3804</v>
      </c>
      <c r="K922" t="s">
        <v>186</v>
      </c>
      <c r="L922">
        <v>48187</v>
      </c>
      <c r="M922" t="s">
        <v>79</v>
      </c>
      <c r="N922" t="s">
        <v>3805</v>
      </c>
      <c r="O922" t="s">
        <v>39</v>
      </c>
      <c r="P922" t="s">
        <v>89</v>
      </c>
      <c r="Q922" t="s">
        <v>3806</v>
      </c>
      <c r="R922">
        <v>50181</v>
      </c>
    </row>
    <row r="923" spans="1:18" x14ac:dyDescent="0.3">
      <c r="A923" t="s">
        <v>3807</v>
      </c>
      <c r="B923" s="1">
        <v>43257</v>
      </c>
      <c r="C923" s="1">
        <v>43261</v>
      </c>
      <c r="D923" s="1">
        <v>43252</v>
      </c>
      <c r="E923" t="s">
        <v>43</v>
      </c>
      <c r="F923" t="s">
        <v>3808</v>
      </c>
      <c r="G923" t="s">
        <v>3809</v>
      </c>
      <c r="H923" t="s">
        <v>76</v>
      </c>
      <c r="I923" t="s">
        <v>23</v>
      </c>
      <c r="J923" t="s">
        <v>101</v>
      </c>
      <c r="K923" t="s">
        <v>36</v>
      </c>
      <c r="L923">
        <v>94122</v>
      </c>
      <c r="M923" t="s">
        <v>37</v>
      </c>
      <c r="N923" t="s">
        <v>3810</v>
      </c>
      <c r="O923" t="s">
        <v>28</v>
      </c>
      <c r="P923" t="s">
        <v>55</v>
      </c>
      <c r="Q923" t="s">
        <v>3811</v>
      </c>
      <c r="R923">
        <v>495</v>
      </c>
    </row>
    <row r="924" spans="1:18" x14ac:dyDescent="0.3">
      <c r="A924" t="s">
        <v>3812</v>
      </c>
      <c r="B924" s="1">
        <v>43148</v>
      </c>
      <c r="C924" s="1">
        <v>43153</v>
      </c>
      <c r="D924" s="1">
        <v>43132</v>
      </c>
      <c r="E924" t="s">
        <v>43</v>
      </c>
      <c r="F924" t="s">
        <v>2556</v>
      </c>
      <c r="G924" t="s">
        <v>2557</v>
      </c>
      <c r="H924" t="s">
        <v>76</v>
      </c>
      <c r="I924" t="s">
        <v>23</v>
      </c>
      <c r="J924" t="s">
        <v>225</v>
      </c>
      <c r="K924" t="s">
        <v>160</v>
      </c>
      <c r="L924">
        <v>60653</v>
      </c>
      <c r="M924" t="s">
        <v>79</v>
      </c>
      <c r="N924" t="s">
        <v>3813</v>
      </c>
      <c r="O924" t="s">
        <v>28</v>
      </c>
      <c r="P924" t="s">
        <v>49</v>
      </c>
      <c r="Q924" t="s">
        <v>3814</v>
      </c>
      <c r="R924">
        <v>48096</v>
      </c>
    </row>
    <row r="925" spans="1:18" x14ac:dyDescent="0.3">
      <c r="A925" t="s">
        <v>3815</v>
      </c>
      <c r="B925" s="1">
        <v>42212</v>
      </c>
      <c r="C925" s="1">
        <v>42214</v>
      </c>
      <c r="D925" s="1">
        <v>42186</v>
      </c>
      <c r="E925" t="s">
        <v>19</v>
      </c>
      <c r="F925" t="s">
        <v>3816</v>
      </c>
      <c r="G925" t="s">
        <v>3817</v>
      </c>
      <c r="H925" t="s">
        <v>22</v>
      </c>
      <c r="I925" t="s">
        <v>23</v>
      </c>
      <c r="J925" t="s">
        <v>101</v>
      </c>
      <c r="K925" t="s">
        <v>36</v>
      </c>
      <c r="L925">
        <v>94122</v>
      </c>
      <c r="M925" t="s">
        <v>37</v>
      </c>
      <c r="N925" t="s">
        <v>3818</v>
      </c>
      <c r="O925" t="s">
        <v>147</v>
      </c>
      <c r="P925" t="s">
        <v>180</v>
      </c>
      <c r="Q925" t="s">
        <v>3819</v>
      </c>
      <c r="R925">
        <v>238</v>
      </c>
    </row>
    <row r="926" spans="1:18" x14ac:dyDescent="0.3">
      <c r="A926" t="s">
        <v>3820</v>
      </c>
      <c r="B926" s="1">
        <v>42666</v>
      </c>
      <c r="C926" s="1">
        <v>42670</v>
      </c>
      <c r="D926" s="1">
        <v>42644</v>
      </c>
      <c r="E926" t="s">
        <v>19</v>
      </c>
      <c r="F926" t="s">
        <v>3821</v>
      </c>
      <c r="G926" t="s">
        <v>3822</v>
      </c>
      <c r="H926" t="s">
        <v>22</v>
      </c>
      <c r="I926" t="s">
        <v>23</v>
      </c>
      <c r="J926" t="s">
        <v>663</v>
      </c>
      <c r="K926" t="s">
        <v>36</v>
      </c>
      <c r="L926">
        <v>92105</v>
      </c>
      <c r="M926" t="s">
        <v>37</v>
      </c>
      <c r="N926" t="s">
        <v>1662</v>
      </c>
      <c r="O926" t="s">
        <v>147</v>
      </c>
      <c r="P926" t="s">
        <v>180</v>
      </c>
      <c r="Q926" t="s">
        <v>1663</v>
      </c>
      <c r="R926">
        <v>14832</v>
      </c>
    </row>
    <row r="927" spans="1:18" x14ac:dyDescent="0.3">
      <c r="A927" t="s">
        <v>3823</v>
      </c>
      <c r="B927" s="1">
        <v>42536</v>
      </c>
      <c r="C927" s="1">
        <v>42541</v>
      </c>
      <c r="D927" s="1">
        <v>42522</v>
      </c>
      <c r="E927" t="s">
        <v>43</v>
      </c>
      <c r="F927" t="s">
        <v>3824</v>
      </c>
      <c r="G927" t="s">
        <v>3825</v>
      </c>
      <c r="H927" t="s">
        <v>22</v>
      </c>
      <c r="I927" t="s">
        <v>23</v>
      </c>
      <c r="J927" t="s">
        <v>231</v>
      </c>
      <c r="K927" t="s">
        <v>232</v>
      </c>
      <c r="L927">
        <v>85234</v>
      </c>
      <c r="M927" t="s">
        <v>37</v>
      </c>
      <c r="N927" t="s">
        <v>3826</v>
      </c>
      <c r="O927" t="s">
        <v>39</v>
      </c>
      <c r="P927" t="s">
        <v>63</v>
      </c>
      <c r="Q927" t="s">
        <v>3827</v>
      </c>
      <c r="R927">
        <v>9568</v>
      </c>
    </row>
    <row r="928" spans="1:18" x14ac:dyDescent="0.3">
      <c r="A928" t="s">
        <v>3828</v>
      </c>
      <c r="B928" s="1">
        <v>43129</v>
      </c>
      <c r="C928" s="1">
        <v>43133</v>
      </c>
      <c r="D928" s="1">
        <v>43101</v>
      </c>
      <c r="E928" t="s">
        <v>43</v>
      </c>
      <c r="F928" t="s">
        <v>1303</v>
      </c>
      <c r="G928" t="s">
        <v>1304</v>
      </c>
      <c r="H928" t="s">
        <v>22</v>
      </c>
      <c r="I928" t="s">
        <v>23</v>
      </c>
      <c r="J928" t="s">
        <v>225</v>
      </c>
      <c r="K928" t="s">
        <v>160</v>
      </c>
      <c r="L928">
        <v>60653</v>
      </c>
      <c r="M928" t="s">
        <v>79</v>
      </c>
      <c r="N928" t="s">
        <v>3829</v>
      </c>
      <c r="O928" t="s">
        <v>39</v>
      </c>
      <c r="P928" t="s">
        <v>71</v>
      </c>
      <c r="Q928" t="s">
        <v>3830</v>
      </c>
      <c r="R928">
        <v>12128</v>
      </c>
    </row>
    <row r="929" spans="1:18" x14ac:dyDescent="0.3">
      <c r="A929" t="s">
        <v>3831</v>
      </c>
      <c r="B929" s="1">
        <v>43221</v>
      </c>
      <c r="C929" s="1">
        <v>43225</v>
      </c>
      <c r="D929" s="1">
        <v>43221</v>
      </c>
      <c r="E929" t="s">
        <v>43</v>
      </c>
      <c r="F929" t="s">
        <v>1667</v>
      </c>
      <c r="G929" t="s">
        <v>1668</v>
      </c>
      <c r="H929" t="s">
        <v>76</v>
      </c>
      <c r="I929" t="s">
        <v>23</v>
      </c>
      <c r="J929" t="s">
        <v>3832</v>
      </c>
      <c r="K929" t="s">
        <v>2023</v>
      </c>
      <c r="L929">
        <v>71854</v>
      </c>
      <c r="M929" t="s">
        <v>26</v>
      </c>
      <c r="N929" t="s">
        <v>3833</v>
      </c>
      <c r="O929" t="s">
        <v>147</v>
      </c>
      <c r="P929" t="s">
        <v>180</v>
      </c>
      <c r="Q929" t="s">
        <v>3834</v>
      </c>
      <c r="R929">
        <v>489</v>
      </c>
    </row>
    <row r="930" spans="1:18" x14ac:dyDescent="0.3">
      <c r="A930" t="s">
        <v>3835</v>
      </c>
      <c r="B930" s="1">
        <v>42372</v>
      </c>
      <c r="C930" s="1">
        <v>42377</v>
      </c>
      <c r="D930" s="1">
        <v>42370</v>
      </c>
      <c r="E930" t="s">
        <v>43</v>
      </c>
      <c r="F930" t="s">
        <v>1314</v>
      </c>
      <c r="G930" t="s">
        <v>1315</v>
      </c>
      <c r="H930" t="s">
        <v>34</v>
      </c>
      <c r="I930" t="s">
        <v>23</v>
      </c>
      <c r="J930" t="s">
        <v>3836</v>
      </c>
      <c r="K930" t="s">
        <v>78</v>
      </c>
      <c r="L930">
        <v>77520</v>
      </c>
      <c r="M930" t="s">
        <v>79</v>
      </c>
      <c r="N930" t="s">
        <v>2100</v>
      </c>
      <c r="O930" t="s">
        <v>39</v>
      </c>
      <c r="P930" t="s">
        <v>63</v>
      </c>
      <c r="Q930" t="s">
        <v>2101</v>
      </c>
      <c r="R930">
        <v>10368</v>
      </c>
    </row>
    <row r="931" spans="1:18" x14ac:dyDescent="0.3">
      <c r="A931" t="s">
        <v>3837</v>
      </c>
      <c r="B931" s="1">
        <v>43256</v>
      </c>
      <c r="C931" s="1">
        <v>43257</v>
      </c>
      <c r="D931" s="1">
        <v>43252</v>
      </c>
      <c r="E931" t="s">
        <v>142</v>
      </c>
      <c r="F931" t="s">
        <v>2305</v>
      </c>
      <c r="G931" t="s">
        <v>2306</v>
      </c>
      <c r="H931" t="s">
        <v>22</v>
      </c>
      <c r="I931" t="s">
        <v>23</v>
      </c>
      <c r="J931" t="s">
        <v>3838</v>
      </c>
      <c r="K931" t="s">
        <v>78</v>
      </c>
      <c r="L931">
        <v>77581</v>
      </c>
      <c r="M931" t="s">
        <v>79</v>
      </c>
      <c r="N931" t="s">
        <v>3839</v>
      </c>
      <c r="O931" t="s">
        <v>147</v>
      </c>
      <c r="P931" t="s">
        <v>148</v>
      </c>
      <c r="Q931" t="s">
        <v>3840</v>
      </c>
      <c r="R931">
        <v>470376</v>
      </c>
    </row>
    <row r="932" spans="1:18" x14ac:dyDescent="0.3">
      <c r="A932" t="s">
        <v>3841</v>
      </c>
      <c r="B932" s="1">
        <v>43299</v>
      </c>
      <c r="C932" s="1">
        <v>43304</v>
      </c>
      <c r="D932" s="1">
        <v>43282</v>
      </c>
      <c r="E932" t="s">
        <v>43</v>
      </c>
      <c r="F932" t="s">
        <v>3038</v>
      </c>
      <c r="G932" t="s">
        <v>3039</v>
      </c>
      <c r="H932" t="s">
        <v>22</v>
      </c>
      <c r="I932" t="s">
        <v>23</v>
      </c>
      <c r="J932" t="s">
        <v>405</v>
      </c>
      <c r="K932" t="s">
        <v>232</v>
      </c>
      <c r="L932">
        <v>85023</v>
      </c>
      <c r="M932" t="s">
        <v>37</v>
      </c>
      <c r="N932" t="s">
        <v>3813</v>
      </c>
      <c r="O932" t="s">
        <v>28</v>
      </c>
      <c r="P932" t="s">
        <v>49</v>
      </c>
      <c r="Q932" t="s">
        <v>3814</v>
      </c>
      <c r="R932">
        <v>8016</v>
      </c>
    </row>
    <row r="933" spans="1:18" x14ac:dyDescent="0.3">
      <c r="A933" t="s">
        <v>3842</v>
      </c>
      <c r="B933" s="1">
        <v>42914</v>
      </c>
      <c r="C933" s="1">
        <v>42918</v>
      </c>
      <c r="D933" s="1">
        <v>42887</v>
      </c>
      <c r="E933" t="s">
        <v>19</v>
      </c>
      <c r="F933" t="s">
        <v>1502</v>
      </c>
      <c r="G933" t="s">
        <v>1503</v>
      </c>
      <c r="H933" t="s">
        <v>22</v>
      </c>
      <c r="I933" t="s">
        <v>23</v>
      </c>
      <c r="J933" t="s">
        <v>225</v>
      </c>
      <c r="K933" t="s">
        <v>160</v>
      </c>
      <c r="L933">
        <v>60610</v>
      </c>
      <c r="M933" t="s">
        <v>79</v>
      </c>
      <c r="N933" t="s">
        <v>3843</v>
      </c>
      <c r="O933" t="s">
        <v>147</v>
      </c>
      <c r="P933" t="s">
        <v>148</v>
      </c>
      <c r="Q933" t="s">
        <v>3844</v>
      </c>
      <c r="R933">
        <v>359976</v>
      </c>
    </row>
    <row r="934" spans="1:18" x14ac:dyDescent="0.3">
      <c r="A934" t="s">
        <v>3845</v>
      </c>
      <c r="B934" s="1">
        <v>42522</v>
      </c>
      <c r="C934" s="1">
        <v>42526</v>
      </c>
      <c r="D934" s="1">
        <v>42522</v>
      </c>
      <c r="E934" t="s">
        <v>43</v>
      </c>
      <c r="F934" t="s">
        <v>3846</v>
      </c>
      <c r="G934" t="s">
        <v>3847</v>
      </c>
      <c r="H934" t="s">
        <v>34</v>
      </c>
      <c r="I934" t="s">
        <v>23</v>
      </c>
      <c r="J934" t="s">
        <v>502</v>
      </c>
      <c r="K934" t="s">
        <v>78</v>
      </c>
      <c r="L934">
        <v>78207</v>
      </c>
      <c r="M934" t="s">
        <v>79</v>
      </c>
      <c r="N934" t="s">
        <v>540</v>
      </c>
      <c r="O934" t="s">
        <v>39</v>
      </c>
      <c r="P934" t="s">
        <v>71</v>
      </c>
      <c r="Q934" t="s">
        <v>541</v>
      </c>
      <c r="R934">
        <v>5728</v>
      </c>
    </row>
    <row r="935" spans="1:18" x14ac:dyDescent="0.3">
      <c r="A935" t="s">
        <v>3848</v>
      </c>
      <c r="B935" s="1">
        <v>42422</v>
      </c>
      <c r="C935" s="1">
        <v>42424</v>
      </c>
      <c r="D935" s="1">
        <v>42401</v>
      </c>
      <c r="E935" t="s">
        <v>19</v>
      </c>
      <c r="F935" t="s">
        <v>2046</v>
      </c>
      <c r="G935" t="s">
        <v>2047</v>
      </c>
      <c r="H935" t="s">
        <v>76</v>
      </c>
      <c r="I935" t="s">
        <v>23</v>
      </c>
      <c r="J935" t="s">
        <v>3601</v>
      </c>
      <c r="K935" t="s">
        <v>186</v>
      </c>
      <c r="L935">
        <v>48310</v>
      </c>
      <c r="M935" t="s">
        <v>79</v>
      </c>
      <c r="N935" t="s">
        <v>3752</v>
      </c>
      <c r="O935" t="s">
        <v>39</v>
      </c>
      <c r="P935" t="s">
        <v>103</v>
      </c>
      <c r="Q935" t="s">
        <v>3753</v>
      </c>
      <c r="R935">
        <v>7936</v>
      </c>
    </row>
    <row r="936" spans="1:18" x14ac:dyDescent="0.3">
      <c r="A936" t="s">
        <v>3849</v>
      </c>
      <c r="B936" s="1">
        <v>43449</v>
      </c>
      <c r="C936" s="1">
        <v>43454</v>
      </c>
      <c r="D936" s="1">
        <v>43435</v>
      </c>
      <c r="E936" t="s">
        <v>43</v>
      </c>
      <c r="F936" t="s">
        <v>2436</v>
      </c>
      <c r="G936" t="s">
        <v>2437</v>
      </c>
      <c r="H936" t="s">
        <v>76</v>
      </c>
      <c r="I936" t="s">
        <v>23</v>
      </c>
      <c r="J936" t="s">
        <v>68</v>
      </c>
      <c r="K936" t="s">
        <v>69</v>
      </c>
      <c r="L936">
        <v>98115</v>
      </c>
      <c r="M936" t="s">
        <v>37</v>
      </c>
      <c r="N936" t="s">
        <v>3850</v>
      </c>
      <c r="O936" t="s">
        <v>28</v>
      </c>
      <c r="P936" t="s">
        <v>55</v>
      </c>
      <c r="Q936" t="s">
        <v>3851</v>
      </c>
      <c r="R936">
        <v>2277</v>
      </c>
    </row>
    <row r="937" spans="1:18" x14ac:dyDescent="0.3">
      <c r="A937" t="s">
        <v>3852</v>
      </c>
      <c r="B937" s="1">
        <v>42311</v>
      </c>
      <c r="C937" s="1">
        <v>42316</v>
      </c>
      <c r="D937" s="1">
        <v>42309</v>
      </c>
      <c r="E937" t="s">
        <v>43</v>
      </c>
      <c r="F937" t="s">
        <v>2392</v>
      </c>
      <c r="G937" t="s">
        <v>2393</v>
      </c>
      <c r="H937" t="s">
        <v>22</v>
      </c>
      <c r="I937" t="s">
        <v>23</v>
      </c>
      <c r="J937" t="s">
        <v>1567</v>
      </c>
      <c r="K937" t="s">
        <v>116</v>
      </c>
      <c r="L937">
        <v>17602</v>
      </c>
      <c r="M937" t="s">
        <v>117</v>
      </c>
      <c r="N937" t="s">
        <v>3853</v>
      </c>
      <c r="O937" t="s">
        <v>39</v>
      </c>
      <c r="P937" t="s">
        <v>1264</v>
      </c>
      <c r="Q937" t="s">
        <v>3854</v>
      </c>
      <c r="R937">
        <v>286344</v>
      </c>
    </row>
    <row r="938" spans="1:18" x14ac:dyDescent="0.3">
      <c r="A938" t="s">
        <v>3855</v>
      </c>
      <c r="B938" s="1">
        <v>42437</v>
      </c>
      <c r="C938" s="1">
        <v>42441</v>
      </c>
      <c r="D938" s="1">
        <v>42430</v>
      </c>
      <c r="E938" t="s">
        <v>43</v>
      </c>
      <c r="F938" t="s">
        <v>3856</v>
      </c>
      <c r="G938" t="s">
        <v>3857</v>
      </c>
      <c r="H938" t="s">
        <v>22</v>
      </c>
      <c r="I938" t="s">
        <v>23</v>
      </c>
      <c r="J938" t="s">
        <v>2699</v>
      </c>
      <c r="K938" t="s">
        <v>87</v>
      </c>
      <c r="L938">
        <v>53142</v>
      </c>
      <c r="M938" t="s">
        <v>79</v>
      </c>
      <c r="N938" t="s">
        <v>3615</v>
      </c>
      <c r="O938" t="s">
        <v>28</v>
      </c>
      <c r="P938" t="s">
        <v>29</v>
      </c>
      <c r="Q938" t="s">
        <v>3616</v>
      </c>
      <c r="R938">
        <v>51294</v>
      </c>
    </row>
    <row r="939" spans="1:18" x14ac:dyDescent="0.3">
      <c r="A939" t="s">
        <v>3858</v>
      </c>
      <c r="B939" s="1">
        <v>42726</v>
      </c>
      <c r="C939" s="1">
        <v>42731</v>
      </c>
      <c r="D939" s="1">
        <v>42705</v>
      </c>
      <c r="E939" t="s">
        <v>43</v>
      </c>
      <c r="F939" t="s">
        <v>2314</v>
      </c>
      <c r="G939" t="s">
        <v>2315</v>
      </c>
      <c r="H939" t="s">
        <v>76</v>
      </c>
      <c r="I939" t="s">
        <v>23</v>
      </c>
      <c r="J939" t="s">
        <v>3859</v>
      </c>
      <c r="K939" t="s">
        <v>87</v>
      </c>
      <c r="L939">
        <v>54880</v>
      </c>
      <c r="M939" t="s">
        <v>79</v>
      </c>
      <c r="N939" t="s">
        <v>3860</v>
      </c>
      <c r="O939" t="s">
        <v>39</v>
      </c>
      <c r="P939" t="s">
        <v>103</v>
      </c>
      <c r="Q939" t="s">
        <v>3861</v>
      </c>
      <c r="R939">
        <v>1712</v>
      </c>
    </row>
    <row r="940" spans="1:18" x14ac:dyDescent="0.3">
      <c r="A940" t="s">
        <v>3862</v>
      </c>
      <c r="B940" s="1">
        <v>43323</v>
      </c>
      <c r="C940" s="1">
        <v>43325</v>
      </c>
      <c r="D940" s="1">
        <v>43313</v>
      </c>
      <c r="E940" t="s">
        <v>142</v>
      </c>
      <c r="F940" t="s">
        <v>1314</v>
      </c>
      <c r="G940" t="s">
        <v>1315</v>
      </c>
      <c r="H940" t="s">
        <v>34</v>
      </c>
      <c r="I940" t="s">
        <v>23</v>
      </c>
      <c r="J940" t="s">
        <v>3863</v>
      </c>
      <c r="K940" t="s">
        <v>78</v>
      </c>
      <c r="L940">
        <v>76021</v>
      </c>
      <c r="M940" t="s">
        <v>79</v>
      </c>
      <c r="N940" t="s">
        <v>3864</v>
      </c>
      <c r="O940" t="s">
        <v>39</v>
      </c>
      <c r="P940" t="s">
        <v>63</v>
      </c>
      <c r="Q940" t="s">
        <v>3865</v>
      </c>
      <c r="R940">
        <v>29664</v>
      </c>
    </row>
    <row r="941" spans="1:18" x14ac:dyDescent="0.3">
      <c r="A941" t="s">
        <v>3866</v>
      </c>
      <c r="B941" s="1">
        <v>43081</v>
      </c>
      <c r="C941" s="1">
        <v>43081</v>
      </c>
      <c r="D941" s="1">
        <v>43070</v>
      </c>
      <c r="E941" t="s">
        <v>857</v>
      </c>
      <c r="F941" t="s">
        <v>2456</v>
      </c>
      <c r="G941" t="s">
        <v>2457</v>
      </c>
      <c r="H941" t="s">
        <v>34</v>
      </c>
      <c r="I941" t="s">
        <v>23</v>
      </c>
      <c r="J941" t="s">
        <v>1655</v>
      </c>
      <c r="K941" t="s">
        <v>377</v>
      </c>
      <c r="L941">
        <v>44052</v>
      </c>
      <c r="M941" t="s">
        <v>117</v>
      </c>
      <c r="N941" t="s">
        <v>928</v>
      </c>
      <c r="O941" t="s">
        <v>39</v>
      </c>
      <c r="P941" t="s">
        <v>71</v>
      </c>
      <c r="Q941" t="s">
        <v>929</v>
      </c>
      <c r="R941">
        <v>18693</v>
      </c>
    </row>
    <row r="942" spans="1:18" x14ac:dyDescent="0.3">
      <c r="A942" t="s">
        <v>3867</v>
      </c>
      <c r="B942" s="1">
        <v>43419</v>
      </c>
      <c r="C942" s="1">
        <v>43424</v>
      </c>
      <c r="D942" s="1">
        <v>43405</v>
      </c>
      <c r="E942" t="s">
        <v>43</v>
      </c>
      <c r="F942" t="s">
        <v>3856</v>
      </c>
      <c r="G942" t="s">
        <v>3857</v>
      </c>
      <c r="H942" t="s">
        <v>22</v>
      </c>
      <c r="I942" t="s">
        <v>23</v>
      </c>
      <c r="J942" t="s">
        <v>3868</v>
      </c>
      <c r="K942" t="s">
        <v>47</v>
      </c>
      <c r="L942">
        <v>33023</v>
      </c>
      <c r="M942" t="s">
        <v>26</v>
      </c>
      <c r="N942" t="s">
        <v>3869</v>
      </c>
      <c r="O942" t="s">
        <v>28</v>
      </c>
      <c r="P942" t="s">
        <v>55</v>
      </c>
      <c r="Q942" t="s">
        <v>3870</v>
      </c>
      <c r="R942">
        <v>220064</v>
      </c>
    </row>
    <row r="943" spans="1:18" x14ac:dyDescent="0.3">
      <c r="A943" t="s">
        <v>3871</v>
      </c>
      <c r="B943" s="1">
        <v>43236</v>
      </c>
      <c r="C943" s="1">
        <v>43238</v>
      </c>
      <c r="D943" s="1">
        <v>43221</v>
      </c>
      <c r="E943" t="s">
        <v>142</v>
      </c>
      <c r="F943" t="s">
        <v>3248</v>
      </c>
      <c r="G943" t="s">
        <v>3249</v>
      </c>
      <c r="H943" t="s">
        <v>22</v>
      </c>
      <c r="I943" t="s">
        <v>23</v>
      </c>
      <c r="J943" t="s">
        <v>578</v>
      </c>
      <c r="K943" t="s">
        <v>377</v>
      </c>
      <c r="L943">
        <v>44312</v>
      </c>
      <c r="M943" t="s">
        <v>117</v>
      </c>
      <c r="N943" t="s">
        <v>2225</v>
      </c>
      <c r="O943" t="s">
        <v>39</v>
      </c>
      <c r="P943" t="s">
        <v>89</v>
      </c>
      <c r="Q943" t="s">
        <v>2226</v>
      </c>
      <c r="R943">
        <v>221024</v>
      </c>
    </row>
    <row r="944" spans="1:18" x14ac:dyDescent="0.3">
      <c r="A944" t="s">
        <v>3872</v>
      </c>
      <c r="B944" s="1">
        <v>42492</v>
      </c>
      <c r="C944" s="1">
        <v>42497</v>
      </c>
      <c r="D944" s="1">
        <v>42491</v>
      </c>
      <c r="E944" t="s">
        <v>43</v>
      </c>
      <c r="F944" t="s">
        <v>3873</v>
      </c>
      <c r="G944" t="s">
        <v>3874</v>
      </c>
      <c r="H944" t="s">
        <v>34</v>
      </c>
      <c r="I944" t="s">
        <v>23</v>
      </c>
      <c r="J944" t="s">
        <v>138</v>
      </c>
      <c r="K944" t="s">
        <v>78</v>
      </c>
      <c r="L944">
        <v>77095</v>
      </c>
      <c r="M944" t="s">
        <v>79</v>
      </c>
      <c r="N944" t="s">
        <v>2726</v>
      </c>
      <c r="O944" t="s">
        <v>39</v>
      </c>
      <c r="P944" t="s">
        <v>40</v>
      </c>
      <c r="Q944" t="s">
        <v>2727</v>
      </c>
      <c r="R944">
        <v>8856</v>
      </c>
    </row>
    <row r="945" spans="1:18" x14ac:dyDescent="0.3">
      <c r="A945" t="s">
        <v>3875</v>
      </c>
      <c r="B945" s="1">
        <v>43231</v>
      </c>
      <c r="C945" s="1">
        <v>43232</v>
      </c>
      <c r="D945" s="1">
        <v>43221</v>
      </c>
      <c r="E945" t="s">
        <v>857</v>
      </c>
      <c r="F945" t="s">
        <v>1240</v>
      </c>
      <c r="G945" t="s">
        <v>1241</v>
      </c>
      <c r="H945" t="s">
        <v>22</v>
      </c>
      <c r="I945" t="s">
        <v>23</v>
      </c>
      <c r="J945" t="s">
        <v>68</v>
      </c>
      <c r="K945" t="s">
        <v>69</v>
      </c>
      <c r="L945">
        <v>98103</v>
      </c>
      <c r="M945" t="s">
        <v>37</v>
      </c>
      <c r="N945" t="s">
        <v>2944</v>
      </c>
      <c r="O945" t="s">
        <v>39</v>
      </c>
      <c r="P945" t="s">
        <v>63</v>
      </c>
      <c r="Q945" t="s">
        <v>2945</v>
      </c>
      <c r="R945">
        <v>3744</v>
      </c>
    </row>
    <row r="946" spans="1:18" x14ac:dyDescent="0.3">
      <c r="A946" t="s">
        <v>3876</v>
      </c>
      <c r="B946" s="1">
        <v>43308</v>
      </c>
      <c r="C946" s="1">
        <v>43312</v>
      </c>
      <c r="D946" s="1">
        <v>43282</v>
      </c>
      <c r="E946" t="s">
        <v>19</v>
      </c>
      <c r="F946" t="s">
        <v>3877</v>
      </c>
      <c r="G946" t="s">
        <v>3878</v>
      </c>
      <c r="H946" t="s">
        <v>22</v>
      </c>
      <c r="I946" t="s">
        <v>23</v>
      </c>
      <c r="J946" t="s">
        <v>1007</v>
      </c>
      <c r="K946" t="s">
        <v>47</v>
      </c>
      <c r="L946">
        <v>32216</v>
      </c>
      <c r="M946" t="s">
        <v>26</v>
      </c>
      <c r="N946" t="s">
        <v>2107</v>
      </c>
      <c r="O946" t="s">
        <v>28</v>
      </c>
      <c r="P946" t="s">
        <v>55</v>
      </c>
      <c r="Q946" t="s">
        <v>2108</v>
      </c>
      <c r="R946">
        <v>91032</v>
      </c>
    </row>
    <row r="947" spans="1:18" x14ac:dyDescent="0.3">
      <c r="A947" t="s">
        <v>3879</v>
      </c>
      <c r="B947" s="1">
        <v>43099</v>
      </c>
      <c r="C947" s="1">
        <v>43101</v>
      </c>
      <c r="D947" s="1">
        <v>43070</v>
      </c>
      <c r="E947" t="s">
        <v>142</v>
      </c>
      <c r="F947" t="s">
        <v>3717</v>
      </c>
      <c r="G947" t="s">
        <v>3718</v>
      </c>
      <c r="H947" t="s">
        <v>34</v>
      </c>
      <c r="I947" t="s">
        <v>23</v>
      </c>
      <c r="J947" t="s">
        <v>3880</v>
      </c>
      <c r="K947" t="s">
        <v>78</v>
      </c>
      <c r="L947">
        <v>77536</v>
      </c>
      <c r="M947" t="s">
        <v>79</v>
      </c>
      <c r="N947" t="s">
        <v>245</v>
      </c>
      <c r="O947" t="s">
        <v>39</v>
      </c>
      <c r="P947" t="s">
        <v>71</v>
      </c>
      <c r="Q947" t="s">
        <v>246</v>
      </c>
      <c r="R947">
        <v>6924</v>
      </c>
    </row>
    <row r="948" spans="1:18" x14ac:dyDescent="0.3">
      <c r="A948" t="s">
        <v>3881</v>
      </c>
      <c r="B948" s="1">
        <v>42143</v>
      </c>
      <c r="C948" s="1">
        <v>42147</v>
      </c>
      <c r="D948" s="1">
        <v>42125</v>
      </c>
      <c r="E948" t="s">
        <v>43</v>
      </c>
      <c r="F948" t="s">
        <v>3004</v>
      </c>
      <c r="G948" t="s">
        <v>3005</v>
      </c>
      <c r="H948" t="s">
        <v>22</v>
      </c>
      <c r="I948" t="s">
        <v>23</v>
      </c>
      <c r="J948" t="s">
        <v>3882</v>
      </c>
      <c r="K948" t="s">
        <v>186</v>
      </c>
      <c r="L948">
        <v>48640</v>
      </c>
      <c r="M948" t="s">
        <v>79</v>
      </c>
      <c r="N948" t="s">
        <v>2868</v>
      </c>
      <c r="O948" t="s">
        <v>39</v>
      </c>
      <c r="P948" t="s">
        <v>71</v>
      </c>
      <c r="Q948" t="s">
        <v>2869</v>
      </c>
      <c r="R948">
        <v>5742</v>
      </c>
    </row>
    <row r="949" spans="1:18" x14ac:dyDescent="0.3">
      <c r="A949" t="s">
        <v>3883</v>
      </c>
      <c r="B949" s="1">
        <v>42841</v>
      </c>
      <c r="C949" s="1">
        <v>42848</v>
      </c>
      <c r="D949" s="1">
        <v>42826</v>
      </c>
      <c r="E949" t="s">
        <v>43</v>
      </c>
      <c r="F949" t="s">
        <v>2035</v>
      </c>
      <c r="G949" t="s">
        <v>2036</v>
      </c>
      <c r="H949" t="s">
        <v>22</v>
      </c>
      <c r="I949" t="s">
        <v>23</v>
      </c>
      <c r="J949" t="s">
        <v>376</v>
      </c>
      <c r="K949" t="s">
        <v>845</v>
      </c>
      <c r="L949">
        <v>31907</v>
      </c>
      <c r="M949" t="s">
        <v>26</v>
      </c>
      <c r="N949" t="s">
        <v>102</v>
      </c>
      <c r="O949" t="s">
        <v>39</v>
      </c>
      <c r="P949" t="s">
        <v>103</v>
      </c>
      <c r="Q949" t="s">
        <v>104</v>
      </c>
      <c r="R949">
        <v>1284</v>
      </c>
    </row>
    <row r="950" spans="1:18" x14ac:dyDescent="0.3">
      <c r="A950" t="s">
        <v>3884</v>
      </c>
      <c r="B950" s="1">
        <v>42443</v>
      </c>
      <c r="C950" s="1">
        <v>42447</v>
      </c>
      <c r="D950" s="1">
        <v>42430</v>
      </c>
      <c r="E950" t="s">
        <v>43</v>
      </c>
      <c r="F950" t="s">
        <v>1190</v>
      </c>
      <c r="G950" t="s">
        <v>1191</v>
      </c>
      <c r="H950" t="s">
        <v>22</v>
      </c>
      <c r="I950" t="s">
        <v>23</v>
      </c>
      <c r="J950" t="s">
        <v>192</v>
      </c>
      <c r="K950" t="s">
        <v>1694</v>
      </c>
      <c r="L950">
        <v>3820</v>
      </c>
      <c r="M950" t="s">
        <v>117</v>
      </c>
      <c r="N950" t="s">
        <v>3885</v>
      </c>
      <c r="O950" t="s">
        <v>39</v>
      </c>
      <c r="P950" t="s">
        <v>40</v>
      </c>
      <c r="Q950" t="s">
        <v>3886</v>
      </c>
      <c r="R950">
        <v>1652</v>
      </c>
    </row>
    <row r="951" spans="1:18" x14ac:dyDescent="0.3">
      <c r="A951" t="s">
        <v>3887</v>
      </c>
      <c r="B951" s="1">
        <v>42917</v>
      </c>
      <c r="C951" s="1">
        <v>42917</v>
      </c>
      <c r="D951" s="1">
        <v>42917</v>
      </c>
      <c r="E951" t="s">
        <v>857</v>
      </c>
      <c r="F951" t="s">
        <v>3821</v>
      </c>
      <c r="G951" t="s">
        <v>3822</v>
      </c>
      <c r="H951" t="s">
        <v>22</v>
      </c>
      <c r="I951" t="s">
        <v>23</v>
      </c>
      <c r="J951" t="s">
        <v>283</v>
      </c>
      <c r="K951" t="s">
        <v>284</v>
      </c>
      <c r="L951">
        <v>29203</v>
      </c>
      <c r="M951" t="s">
        <v>26</v>
      </c>
      <c r="N951" t="s">
        <v>3888</v>
      </c>
      <c r="O951" t="s">
        <v>39</v>
      </c>
      <c r="P951" t="s">
        <v>71</v>
      </c>
      <c r="Q951" t="s">
        <v>3889</v>
      </c>
      <c r="R951">
        <v>142</v>
      </c>
    </row>
    <row r="952" spans="1:18" x14ac:dyDescent="0.3">
      <c r="A952" t="s">
        <v>3890</v>
      </c>
      <c r="B952" s="1">
        <v>42902</v>
      </c>
      <c r="C952" s="1">
        <v>42904</v>
      </c>
      <c r="D952" s="1">
        <v>42887</v>
      </c>
      <c r="E952" t="s">
        <v>19</v>
      </c>
      <c r="F952" t="s">
        <v>2327</v>
      </c>
      <c r="G952" t="s">
        <v>2328</v>
      </c>
      <c r="H952" t="s">
        <v>22</v>
      </c>
      <c r="I952" t="s">
        <v>23</v>
      </c>
      <c r="J952" t="s">
        <v>35</v>
      </c>
      <c r="K952" t="s">
        <v>36</v>
      </c>
      <c r="L952">
        <v>90045</v>
      </c>
      <c r="M952" t="s">
        <v>37</v>
      </c>
      <c r="N952" t="s">
        <v>3864</v>
      </c>
      <c r="O952" t="s">
        <v>39</v>
      </c>
      <c r="P952" t="s">
        <v>63</v>
      </c>
      <c r="Q952" t="s">
        <v>3865</v>
      </c>
      <c r="R952">
        <v>4635</v>
      </c>
    </row>
    <row r="953" spans="1:18" x14ac:dyDescent="0.3">
      <c r="A953" t="s">
        <v>3891</v>
      </c>
      <c r="B953" s="1">
        <v>42559</v>
      </c>
      <c r="C953" s="1">
        <v>42559</v>
      </c>
      <c r="D953" s="1">
        <v>42552</v>
      </c>
      <c r="E953" t="s">
        <v>857</v>
      </c>
      <c r="F953" t="s">
        <v>3892</v>
      </c>
      <c r="G953" t="s">
        <v>3893</v>
      </c>
      <c r="H953" t="s">
        <v>22</v>
      </c>
      <c r="I953" t="s">
        <v>23</v>
      </c>
      <c r="J953" t="s">
        <v>138</v>
      </c>
      <c r="K953" t="s">
        <v>78</v>
      </c>
      <c r="L953">
        <v>77070</v>
      </c>
      <c r="M953" t="s">
        <v>79</v>
      </c>
      <c r="N953" t="s">
        <v>3894</v>
      </c>
      <c r="O953" t="s">
        <v>39</v>
      </c>
      <c r="P953" t="s">
        <v>63</v>
      </c>
      <c r="Q953" t="s">
        <v>3895</v>
      </c>
      <c r="R953">
        <v>2112</v>
      </c>
    </row>
    <row r="954" spans="1:18" x14ac:dyDescent="0.3">
      <c r="A954" t="s">
        <v>3896</v>
      </c>
      <c r="B954" s="1">
        <v>42129</v>
      </c>
      <c r="C954" s="1">
        <v>42133</v>
      </c>
      <c r="D954" s="1">
        <v>42125</v>
      </c>
      <c r="E954" t="s">
        <v>19</v>
      </c>
      <c r="F954" t="s">
        <v>3824</v>
      </c>
      <c r="G954" t="s">
        <v>3825</v>
      </c>
      <c r="H954" t="s">
        <v>22</v>
      </c>
      <c r="I954" t="s">
        <v>23</v>
      </c>
      <c r="J954" t="s">
        <v>1269</v>
      </c>
      <c r="K954" t="s">
        <v>25</v>
      </c>
      <c r="L954">
        <v>40475</v>
      </c>
      <c r="M954" t="s">
        <v>26</v>
      </c>
      <c r="N954" t="s">
        <v>3320</v>
      </c>
      <c r="O954" t="s">
        <v>39</v>
      </c>
      <c r="P954" t="s">
        <v>63</v>
      </c>
      <c r="Q954" t="s">
        <v>3321</v>
      </c>
      <c r="R954">
        <v>942</v>
      </c>
    </row>
    <row r="955" spans="1:18" x14ac:dyDescent="0.3">
      <c r="A955" t="s">
        <v>3897</v>
      </c>
      <c r="B955" s="1">
        <v>42338</v>
      </c>
      <c r="C955" s="1">
        <v>42342</v>
      </c>
      <c r="D955" s="1">
        <v>42309</v>
      </c>
      <c r="E955" t="s">
        <v>43</v>
      </c>
      <c r="F955" t="s">
        <v>838</v>
      </c>
      <c r="G955" t="s">
        <v>839</v>
      </c>
      <c r="H955" t="s">
        <v>22</v>
      </c>
      <c r="I955" t="s">
        <v>23</v>
      </c>
      <c r="J955" t="s">
        <v>3898</v>
      </c>
      <c r="K955" t="s">
        <v>207</v>
      </c>
      <c r="L955">
        <v>10550</v>
      </c>
      <c r="M955" t="s">
        <v>117</v>
      </c>
      <c r="N955" t="s">
        <v>3899</v>
      </c>
      <c r="O955" t="s">
        <v>39</v>
      </c>
      <c r="P955" t="s">
        <v>154</v>
      </c>
      <c r="Q955" t="s">
        <v>3900</v>
      </c>
      <c r="R955">
        <v>6228</v>
      </c>
    </row>
    <row r="956" spans="1:18" x14ac:dyDescent="0.3">
      <c r="A956" t="s">
        <v>3901</v>
      </c>
      <c r="B956" s="1">
        <v>42418</v>
      </c>
      <c r="C956" s="1">
        <v>42422</v>
      </c>
      <c r="D956" s="1">
        <v>42401</v>
      </c>
      <c r="E956" t="s">
        <v>43</v>
      </c>
      <c r="F956" t="s">
        <v>2266</v>
      </c>
      <c r="G956" t="s">
        <v>2267</v>
      </c>
      <c r="H956" t="s">
        <v>34</v>
      </c>
      <c r="I956" t="s">
        <v>23</v>
      </c>
      <c r="J956" t="s">
        <v>35</v>
      </c>
      <c r="K956" t="s">
        <v>36</v>
      </c>
      <c r="L956">
        <v>90004</v>
      </c>
      <c r="M956" t="s">
        <v>37</v>
      </c>
      <c r="N956" t="s">
        <v>3902</v>
      </c>
      <c r="O956" t="s">
        <v>39</v>
      </c>
      <c r="P956" t="s">
        <v>40</v>
      </c>
      <c r="Q956" t="s">
        <v>3903</v>
      </c>
      <c r="R956">
        <v>924</v>
      </c>
    </row>
    <row r="957" spans="1:18" x14ac:dyDescent="0.3">
      <c r="A957" t="s">
        <v>3904</v>
      </c>
      <c r="B957" s="1">
        <v>43008</v>
      </c>
      <c r="C957" s="1">
        <v>43011</v>
      </c>
      <c r="D957" s="1">
        <v>42979</v>
      </c>
      <c r="E957" t="s">
        <v>142</v>
      </c>
      <c r="F957" t="s">
        <v>3905</v>
      </c>
      <c r="G957" t="s">
        <v>3906</v>
      </c>
      <c r="H957" t="s">
        <v>22</v>
      </c>
      <c r="I957" t="s">
        <v>23</v>
      </c>
      <c r="J957" t="s">
        <v>878</v>
      </c>
      <c r="K957" t="s">
        <v>160</v>
      </c>
      <c r="L957">
        <v>62301</v>
      </c>
      <c r="M957" t="s">
        <v>79</v>
      </c>
      <c r="N957" t="s">
        <v>573</v>
      </c>
      <c r="O957" t="s">
        <v>39</v>
      </c>
      <c r="P957" t="s">
        <v>71</v>
      </c>
      <c r="Q957" t="s">
        <v>574</v>
      </c>
      <c r="R957">
        <v>1964</v>
      </c>
    </row>
    <row r="958" spans="1:18" x14ac:dyDescent="0.3">
      <c r="A958" t="s">
        <v>3907</v>
      </c>
      <c r="B958" s="1">
        <v>42374</v>
      </c>
      <c r="C958" s="1">
        <v>42379</v>
      </c>
      <c r="D958" s="1">
        <v>42370</v>
      </c>
      <c r="E958" t="s">
        <v>43</v>
      </c>
      <c r="F958" t="s">
        <v>1358</v>
      </c>
      <c r="G958" t="s">
        <v>1359</v>
      </c>
      <c r="H958" t="s">
        <v>76</v>
      </c>
      <c r="I958" t="s">
        <v>23</v>
      </c>
      <c r="J958" t="s">
        <v>68</v>
      </c>
      <c r="K958" t="s">
        <v>69</v>
      </c>
      <c r="L958">
        <v>98103</v>
      </c>
      <c r="M958" t="s">
        <v>37</v>
      </c>
      <c r="N958" t="s">
        <v>1016</v>
      </c>
      <c r="O958" t="s">
        <v>28</v>
      </c>
      <c r="P958" t="s">
        <v>119</v>
      </c>
      <c r="Q958" t="s">
        <v>1017</v>
      </c>
      <c r="R958">
        <v>61584</v>
      </c>
    </row>
    <row r="959" spans="1:18" x14ac:dyDescent="0.3">
      <c r="A959" t="s">
        <v>3908</v>
      </c>
      <c r="B959" s="1">
        <v>43286</v>
      </c>
      <c r="C959" s="1">
        <v>43291</v>
      </c>
      <c r="D959" s="1">
        <v>43282</v>
      </c>
      <c r="E959" t="s">
        <v>43</v>
      </c>
      <c r="F959" t="s">
        <v>1679</v>
      </c>
      <c r="G959" t="s">
        <v>1680</v>
      </c>
      <c r="H959" t="s">
        <v>34</v>
      </c>
      <c r="I959" t="s">
        <v>23</v>
      </c>
      <c r="J959" t="s">
        <v>590</v>
      </c>
      <c r="K959" t="s">
        <v>78</v>
      </c>
      <c r="L959">
        <v>75220</v>
      </c>
      <c r="M959" t="s">
        <v>79</v>
      </c>
      <c r="N959" t="s">
        <v>1816</v>
      </c>
      <c r="O959" t="s">
        <v>28</v>
      </c>
      <c r="P959" t="s">
        <v>55</v>
      </c>
      <c r="Q959" t="s">
        <v>1817</v>
      </c>
      <c r="R959">
        <v>332028</v>
      </c>
    </row>
    <row r="960" spans="1:18" x14ac:dyDescent="0.3">
      <c r="A960" t="s">
        <v>3909</v>
      </c>
      <c r="B960" s="1">
        <v>42829</v>
      </c>
      <c r="C960" s="1">
        <v>42830</v>
      </c>
      <c r="D960" s="1">
        <v>42826</v>
      </c>
      <c r="E960" t="s">
        <v>142</v>
      </c>
      <c r="F960" t="s">
        <v>2364</v>
      </c>
      <c r="G960" t="s">
        <v>2365</v>
      </c>
      <c r="H960" t="s">
        <v>76</v>
      </c>
      <c r="I960" t="s">
        <v>23</v>
      </c>
      <c r="J960" t="s">
        <v>238</v>
      </c>
      <c r="K960" t="s">
        <v>239</v>
      </c>
      <c r="L960">
        <v>22153</v>
      </c>
      <c r="M960" t="s">
        <v>26</v>
      </c>
      <c r="N960" t="s">
        <v>3910</v>
      </c>
      <c r="O960" t="s">
        <v>147</v>
      </c>
      <c r="P960" t="s">
        <v>148</v>
      </c>
      <c r="Q960" t="s">
        <v>3911</v>
      </c>
      <c r="R960">
        <v>14997</v>
      </c>
    </row>
    <row r="961" spans="1:18" x14ac:dyDescent="0.3">
      <c r="A961" t="s">
        <v>3912</v>
      </c>
      <c r="B961" s="1">
        <v>42089</v>
      </c>
      <c r="C961" s="1">
        <v>42093</v>
      </c>
      <c r="D961" s="1">
        <v>42064</v>
      </c>
      <c r="E961" t="s">
        <v>43</v>
      </c>
      <c r="F961" t="s">
        <v>424</v>
      </c>
      <c r="G961" t="s">
        <v>425</v>
      </c>
      <c r="H961" t="s">
        <v>34</v>
      </c>
      <c r="I961" t="s">
        <v>23</v>
      </c>
      <c r="J961" t="s">
        <v>35</v>
      </c>
      <c r="K961" t="s">
        <v>36</v>
      </c>
      <c r="L961">
        <v>90036</v>
      </c>
      <c r="M961" t="s">
        <v>37</v>
      </c>
      <c r="N961" t="s">
        <v>545</v>
      </c>
      <c r="O961" t="s">
        <v>147</v>
      </c>
      <c r="P961" t="s">
        <v>180</v>
      </c>
      <c r="Q961" t="s">
        <v>546</v>
      </c>
      <c r="R961">
        <v>663</v>
      </c>
    </row>
    <row r="962" spans="1:18" x14ac:dyDescent="0.3">
      <c r="A962" t="s">
        <v>3913</v>
      </c>
      <c r="B962" s="1">
        <v>43401</v>
      </c>
      <c r="C962" s="1">
        <v>43406</v>
      </c>
      <c r="D962" s="1">
        <v>43374</v>
      </c>
      <c r="E962" t="s">
        <v>19</v>
      </c>
      <c r="F962" t="s">
        <v>3914</v>
      </c>
      <c r="G962" t="s">
        <v>3915</v>
      </c>
      <c r="H962" t="s">
        <v>34</v>
      </c>
      <c r="I962" t="s">
        <v>23</v>
      </c>
      <c r="J962" t="s">
        <v>206</v>
      </c>
      <c r="K962" t="s">
        <v>207</v>
      </c>
      <c r="L962">
        <v>10035</v>
      </c>
      <c r="M962" t="s">
        <v>117</v>
      </c>
      <c r="N962" t="s">
        <v>3916</v>
      </c>
      <c r="O962" t="s">
        <v>39</v>
      </c>
      <c r="P962" t="s">
        <v>154</v>
      </c>
      <c r="Q962" t="s">
        <v>3917</v>
      </c>
      <c r="R962">
        <v>4798</v>
      </c>
    </row>
    <row r="963" spans="1:18" x14ac:dyDescent="0.3">
      <c r="A963" t="s">
        <v>3918</v>
      </c>
      <c r="B963" s="1">
        <v>42507</v>
      </c>
      <c r="C963" s="1">
        <v>42511</v>
      </c>
      <c r="D963" s="1">
        <v>42491</v>
      </c>
      <c r="E963" t="s">
        <v>43</v>
      </c>
      <c r="F963" t="s">
        <v>175</v>
      </c>
      <c r="G963" t="s">
        <v>176</v>
      </c>
      <c r="H963" t="s">
        <v>34</v>
      </c>
      <c r="I963" t="s">
        <v>23</v>
      </c>
      <c r="J963" t="s">
        <v>138</v>
      </c>
      <c r="K963" t="s">
        <v>78</v>
      </c>
      <c r="L963">
        <v>77095</v>
      </c>
      <c r="M963" t="s">
        <v>79</v>
      </c>
      <c r="N963" t="s">
        <v>3919</v>
      </c>
      <c r="O963" t="s">
        <v>39</v>
      </c>
      <c r="P963" t="s">
        <v>71</v>
      </c>
      <c r="Q963" t="s">
        <v>3920</v>
      </c>
      <c r="R963">
        <v>3328</v>
      </c>
    </row>
    <row r="964" spans="1:18" x14ac:dyDescent="0.3">
      <c r="A964" t="s">
        <v>3921</v>
      </c>
      <c r="B964" s="1">
        <v>43335</v>
      </c>
      <c r="C964" s="1">
        <v>43338</v>
      </c>
      <c r="D964" s="1">
        <v>43313</v>
      </c>
      <c r="E964" t="s">
        <v>19</v>
      </c>
      <c r="F964" t="s">
        <v>792</v>
      </c>
      <c r="G964" t="s">
        <v>793</v>
      </c>
      <c r="H964" t="s">
        <v>22</v>
      </c>
      <c r="I964" t="s">
        <v>23</v>
      </c>
      <c r="J964" t="s">
        <v>3369</v>
      </c>
      <c r="K964" t="s">
        <v>47</v>
      </c>
      <c r="L964">
        <v>32303</v>
      </c>
      <c r="M964" t="s">
        <v>26</v>
      </c>
      <c r="N964" t="s">
        <v>3922</v>
      </c>
      <c r="O964" t="s">
        <v>147</v>
      </c>
      <c r="P964" t="s">
        <v>148</v>
      </c>
      <c r="Q964" t="s">
        <v>3923</v>
      </c>
      <c r="R964">
        <v>4367896</v>
      </c>
    </row>
    <row r="965" spans="1:18" x14ac:dyDescent="0.3">
      <c r="A965" t="s">
        <v>3924</v>
      </c>
      <c r="B965" s="1">
        <v>42238</v>
      </c>
      <c r="C965" s="1">
        <v>42241</v>
      </c>
      <c r="D965" s="1">
        <v>42217</v>
      </c>
      <c r="E965" t="s">
        <v>19</v>
      </c>
      <c r="F965" t="s">
        <v>1924</v>
      </c>
      <c r="G965" t="s">
        <v>1925</v>
      </c>
      <c r="H965" t="s">
        <v>76</v>
      </c>
      <c r="I965" t="s">
        <v>23</v>
      </c>
      <c r="J965" t="s">
        <v>3925</v>
      </c>
      <c r="K965" t="s">
        <v>377</v>
      </c>
      <c r="L965">
        <v>44107</v>
      </c>
      <c r="M965" t="s">
        <v>117</v>
      </c>
      <c r="N965" t="s">
        <v>3779</v>
      </c>
      <c r="O965" t="s">
        <v>39</v>
      </c>
      <c r="P965" t="s">
        <v>103</v>
      </c>
      <c r="Q965" t="s">
        <v>3780</v>
      </c>
      <c r="R965">
        <v>3912</v>
      </c>
    </row>
    <row r="966" spans="1:18" x14ac:dyDescent="0.3">
      <c r="A966" t="s">
        <v>3926</v>
      </c>
      <c r="B966" s="1">
        <v>43012</v>
      </c>
      <c r="C966" s="1">
        <v>43012</v>
      </c>
      <c r="D966" s="1">
        <v>43009</v>
      </c>
      <c r="E966" t="s">
        <v>857</v>
      </c>
      <c r="F966" t="s">
        <v>3927</v>
      </c>
      <c r="G966" t="s">
        <v>3928</v>
      </c>
      <c r="H966" t="s">
        <v>22</v>
      </c>
      <c r="I966" t="s">
        <v>23</v>
      </c>
      <c r="J966" t="s">
        <v>3929</v>
      </c>
      <c r="K966" t="s">
        <v>78</v>
      </c>
      <c r="L966">
        <v>75056</v>
      </c>
      <c r="M966" t="s">
        <v>79</v>
      </c>
      <c r="N966" t="s">
        <v>1884</v>
      </c>
      <c r="O966" t="s">
        <v>39</v>
      </c>
      <c r="P966" t="s">
        <v>154</v>
      </c>
      <c r="Q966" t="s">
        <v>1885</v>
      </c>
      <c r="R966">
        <v>59752</v>
      </c>
    </row>
    <row r="967" spans="1:18" x14ac:dyDescent="0.3">
      <c r="A967" t="s">
        <v>3930</v>
      </c>
      <c r="B967" s="1">
        <v>42303</v>
      </c>
      <c r="C967" s="1">
        <v>42307</v>
      </c>
      <c r="D967" s="1">
        <v>42278</v>
      </c>
      <c r="E967" t="s">
        <v>19</v>
      </c>
      <c r="F967" t="s">
        <v>3931</v>
      </c>
      <c r="G967" t="s">
        <v>3932</v>
      </c>
      <c r="H967" t="s">
        <v>22</v>
      </c>
      <c r="I967" t="s">
        <v>23</v>
      </c>
      <c r="J967" t="s">
        <v>68</v>
      </c>
      <c r="K967" t="s">
        <v>69</v>
      </c>
      <c r="L967">
        <v>98105</v>
      </c>
      <c r="M967" t="s">
        <v>37</v>
      </c>
      <c r="N967" t="s">
        <v>1174</v>
      </c>
      <c r="O967" t="s">
        <v>28</v>
      </c>
      <c r="P967" t="s">
        <v>55</v>
      </c>
      <c r="Q967" t="s">
        <v>1175</v>
      </c>
      <c r="R967">
        <v>6392</v>
      </c>
    </row>
    <row r="968" spans="1:18" x14ac:dyDescent="0.3">
      <c r="A968" t="s">
        <v>3933</v>
      </c>
      <c r="B968" s="1">
        <v>42414</v>
      </c>
      <c r="C968" s="1">
        <v>42419</v>
      </c>
      <c r="D968" s="1">
        <v>42401</v>
      </c>
      <c r="E968" t="s">
        <v>43</v>
      </c>
      <c r="F968" t="s">
        <v>304</v>
      </c>
      <c r="G968" t="s">
        <v>305</v>
      </c>
      <c r="H968" t="s">
        <v>22</v>
      </c>
      <c r="I968" t="s">
        <v>23</v>
      </c>
      <c r="J968" t="s">
        <v>578</v>
      </c>
      <c r="K968" t="s">
        <v>377</v>
      </c>
      <c r="L968">
        <v>44312</v>
      </c>
      <c r="M968" t="s">
        <v>117</v>
      </c>
      <c r="N968" t="s">
        <v>1454</v>
      </c>
      <c r="O968" t="s">
        <v>39</v>
      </c>
      <c r="P968" t="s">
        <v>71</v>
      </c>
      <c r="Q968" t="s">
        <v>1455</v>
      </c>
      <c r="R968">
        <v>14952</v>
      </c>
    </row>
    <row r="969" spans="1:18" x14ac:dyDescent="0.3">
      <c r="A969" t="s">
        <v>3934</v>
      </c>
      <c r="B969" s="1">
        <v>42760</v>
      </c>
      <c r="C969" s="1">
        <v>42762</v>
      </c>
      <c r="D969" s="1">
        <v>42736</v>
      </c>
      <c r="E969" t="s">
        <v>142</v>
      </c>
      <c r="F969" t="s">
        <v>2152</v>
      </c>
      <c r="G969" t="s">
        <v>2153</v>
      </c>
      <c r="H969" t="s">
        <v>34</v>
      </c>
      <c r="I969" t="s">
        <v>23</v>
      </c>
      <c r="J969" t="s">
        <v>1349</v>
      </c>
      <c r="K969" t="s">
        <v>701</v>
      </c>
      <c r="L969">
        <v>7060</v>
      </c>
      <c r="M969" t="s">
        <v>117</v>
      </c>
      <c r="N969" t="s">
        <v>3935</v>
      </c>
      <c r="O969" t="s">
        <v>39</v>
      </c>
      <c r="P969" t="s">
        <v>103</v>
      </c>
      <c r="Q969" t="s">
        <v>3936</v>
      </c>
      <c r="R969">
        <v>921</v>
      </c>
    </row>
    <row r="970" spans="1:18" x14ac:dyDescent="0.3">
      <c r="A970" t="s">
        <v>3937</v>
      </c>
      <c r="B970" s="1">
        <v>43240</v>
      </c>
      <c r="C970" s="1">
        <v>43242</v>
      </c>
      <c r="D970" s="1">
        <v>43221</v>
      </c>
      <c r="E970" t="s">
        <v>19</v>
      </c>
      <c r="F970" t="s">
        <v>3938</v>
      </c>
      <c r="G970" t="s">
        <v>3939</v>
      </c>
      <c r="H970" t="s">
        <v>22</v>
      </c>
      <c r="I970" t="s">
        <v>23</v>
      </c>
      <c r="J970" t="s">
        <v>3940</v>
      </c>
      <c r="K970" t="s">
        <v>3941</v>
      </c>
      <c r="L970">
        <v>58103</v>
      </c>
      <c r="M970" t="s">
        <v>79</v>
      </c>
      <c r="N970" t="s">
        <v>3942</v>
      </c>
      <c r="O970" t="s">
        <v>39</v>
      </c>
      <c r="P970" t="s">
        <v>103</v>
      </c>
      <c r="Q970" t="s">
        <v>3943</v>
      </c>
      <c r="R970">
        <v>13194</v>
      </c>
    </row>
    <row r="971" spans="1:18" x14ac:dyDescent="0.3">
      <c r="A971" t="s">
        <v>3944</v>
      </c>
      <c r="B971" s="1">
        <v>42668</v>
      </c>
      <c r="C971" s="1">
        <v>42673</v>
      </c>
      <c r="D971" s="1">
        <v>42644</v>
      </c>
      <c r="E971" t="s">
        <v>43</v>
      </c>
      <c r="F971" t="s">
        <v>3945</v>
      </c>
      <c r="G971" t="s">
        <v>3946</v>
      </c>
      <c r="H971" t="s">
        <v>22</v>
      </c>
      <c r="I971" t="s">
        <v>23</v>
      </c>
      <c r="J971" t="s">
        <v>101</v>
      </c>
      <c r="K971" t="s">
        <v>36</v>
      </c>
      <c r="L971">
        <v>94110</v>
      </c>
      <c r="M971" t="s">
        <v>37</v>
      </c>
      <c r="N971" t="s">
        <v>1645</v>
      </c>
      <c r="O971" t="s">
        <v>39</v>
      </c>
      <c r="P971" t="s">
        <v>103</v>
      </c>
      <c r="Q971" t="s">
        <v>1646</v>
      </c>
      <c r="R971">
        <v>6045</v>
      </c>
    </row>
    <row r="972" spans="1:18" x14ac:dyDescent="0.3">
      <c r="A972" t="s">
        <v>3947</v>
      </c>
      <c r="B972" s="1">
        <v>42192</v>
      </c>
      <c r="C972" s="1">
        <v>42196</v>
      </c>
      <c r="D972" s="1">
        <v>42186</v>
      </c>
      <c r="E972" t="s">
        <v>43</v>
      </c>
      <c r="F972" t="s">
        <v>1343</v>
      </c>
      <c r="G972" t="s">
        <v>1344</v>
      </c>
      <c r="H972" t="s">
        <v>22</v>
      </c>
      <c r="I972" t="s">
        <v>23</v>
      </c>
      <c r="J972" t="s">
        <v>115</v>
      </c>
      <c r="K972" t="s">
        <v>116</v>
      </c>
      <c r="L972">
        <v>19120</v>
      </c>
      <c r="M972" t="s">
        <v>117</v>
      </c>
      <c r="N972" t="s">
        <v>2244</v>
      </c>
      <c r="O972" t="s">
        <v>28</v>
      </c>
      <c r="P972" t="s">
        <v>119</v>
      </c>
      <c r="Q972" t="s">
        <v>2245</v>
      </c>
      <c r="R972">
        <v>172186</v>
      </c>
    </row>
    <row r="973" spans="1:18" x14ac:dyDescent="0.3">
      <c r="A973" t="s">
        <v>3948</v>
      </c>
      <c r="B973" s="1">
        <v>43331</v>
      </c>
      <c r="C973" s="1">
        <v>43335</v>
      </c>
      <c r="D973" s="1">
        <v>43313</v>
      </c>
      <c r="E973" t="s">
        <v>43</v>
      </c>
      <c r="F973" t="s">
        <v>511</v>
      </c>
      <c r="G973" t="s">
        <v>512</v>
      </c>
      <c r="H973" t="s">
        <v>34</v>
      </c>
      <c r="I973" t="s">
        <v>23</v>
      </c>
      <c r="J973" t="s">
        <v>1157</v>
      </c>
      <c r="K973" t="s">
        <v>829</v>
      </c>
      <c r="L973">
        <v>1841</v>
      </c>
      <c r="M973" t="s">
        <v>117</v>
      </c>
      <c r="N973" t="s">
        <v>1879</v>
      </c>
      <c r="O973" t="s">
        <v>39</v>
      </c>
      <c r="P973" t="s">
        <v>71</v>
      </c>
      <c r="Q973" t="s">
        <v>1880</v>
      </c>
      <c r="R973">
        <v>38799</v>
      </c>
    </row>
    <row r="974" spans="1:18" x14ac:dyDescent="0.3">
      <c r="A974" t="s">
        <v>3949</v>
      </c>
      <c r="B974" s="1">
        <v>42691</v>
      </c>
      <c r="C974" s="1">
        <v>42695</v>
      </c>
      <c r="D974" s="1">
        <v>42675</v>
      </c>
      <c r="E974" t="s">
        <v>19</v>
      </c>
      <c r="F974" t="s">
        <v>3950</v>
      </c>
      <c r="G974" t="s">
        <v>3951</v>
      </c>
      <c r="H974" t="s">
        <v>22</v>
      </c>
      <c r="I974" t="s">
        <v>23</v>
      </c>
      <c r="J974" t="s">
        <v>225</v>
      </c>
      <c r="K974" t="s">
        <v>160</v>
      </c>
      <c r="L974">
        <v>60610</v>
      </c>
      <c r="M974" t="s">
        <v>79</v>
      </c>
      <c r="N974" t="s">
        <v>3952</v>
      </c>
      <c r="O974" t="s">
        <v>39</v>
      </c>
      <c r="P974" t="s">
        <v>1264</v>
      </c>
      <c r="Q974" t="s">
        <v>3953</v>
      </c>
      <c r="R974">
        <v>4092</v>
      </c>
    </row>
    <row r="975" spans="1:18" x14ac:dyDescent="0.3">
      <c r="A975" t="s">
        <v>3954</v>
      </c>
      <c r="B975" s="1">
        <v>42858</v>
      </c>
      <c r="C975" s="1">
        <v>42863</v>
      </c>
      <c r="D975" s="1">
        <v>42856</v>
      </c>
      <c r="E975" t="s">
        <v>43</v>
      </c>
      <c r="F975" t="s">
        <v>2884</v>
      </c>
      <c r="G975" t="s">
        <v>2885</v>
      </c>
      <c r="H975" t="s">
        <v>22</v>
      </c>
      <c r="I975" t="s">
        <v>23</v>
      </c>
      <c r="J975" t="s">
        <v>225</v>
      </c>
      <c r="K975" t="s">
        <v>160</v>
      </c>
      <c r="L975">
        <v>60653</v>
      </c>
      <c r="M975" t="s">
        <v>79</v>
      </c>
      <c r="N975" t="s">
        <v>1568</v>
      </c>
      <c r="O975" t="s">
        <v>39</v>
      </c>
      <c r="P975" t="s">
        <v>71</v>
      </c>
      <c r="Q975" t="s">
        <v>1569</v>
      </c>
      <c r="R975">
        <v>2182</v>
      </c>
    </row>
    <row r="976" spans="1:18" x14ac:dyDescent="0.3">
      <c r="A976" t="s">
        <v>3955</v>
      </c>
      <c r="B976" s="1">
        <v>42540</v>
      </c>
      <c r="C976" s="1">
        <v>42544</v>
      </c>
      <c r="D976" s="1">
        <v>42522</v>
      </c>
      <c r="E976" t="s">
        <v>43</v>
      </c>
      <c r="F976" t="s">
        <v>656</v>
      </c>
      <c r="G976" t="s">
        <v>657</v>
      </c>
      <c r="H976" t="s">
        <v>22</v>
      </c>
      <c r="I976" t="s">
        <v>23</v>
      </c>
      <c r="J976" t="s">
        <v>35</v>
      </c>
      <c r="K976" t="s">
        <v>36</v>
      </c>
      <c r="L976">
        <v>90032</v>
      </c>
      <c r="M976" t="s">
        <v>37</v>
      </c>
      <c r="N976" t="s">
        <v>1725</v>
      </c>
      <c r="O976" t="s">
        <v>28</v>
      </c>
      <c r="P976" t="s">
        <v>55</v>
      </c>
      <c r="Q976" t="s">
        <v>1726</v>
      </c>
      <c r="R976">
        <v>1256</v>
      </c>
    </row>
    <row r="977" spans="1:18" x14ac:dyDescent="0.3">
      <c r="A977" t="s">
        <v>3956</v>
      </c>
      <c r="B977" s="1">
        <v>42920</v>
      </c>
      <c r="C977" s="1">
        <v>42922</v>
      </c>
      <c r="D977" s="1">
        <v>42917</v>
      </c>
      <c r="E977" t="s">
        <v>142</v>
      </c>
      <c r="F977" t="s">
        <v>3957</v>
      </c>
      <c r="G977" t="s">
        <v>3958</v>
      </c>
      <c r="H977" t="s">
        <v>22</v>
      </c>
      <c r="I977" t="s">
        <v>23</v>
      </c>
      <c r="J977" t="s">
        <v>101</v>
      </c>
      <c r="K977" t="s">
        <v>36</v>
      </c>
      <c r="L977">
        <v>94109</v>
      </c>
      <c r="M977" t="s">
        <v>37</v>
      </c>
      <c r="N977" t="s">
        <v>3959</v>
      </c>
      <c r="O977" t="s">
        <v>28</v>
      </c>
      <c r="P977" t="s">
        <v>55</v>
      </c>
      <c r="Q977" t="s">
        <v>3960</v>
      </c>
      <c r="R977">
        <v>254</v>
      </c>
    </row>
    <row r="978" spans="1:18" x14ac:dyDescent="0.3">
      <c r="A978" t="s">
        <v>3961</v>
      </c>
      <c r="B978" s="1">
        <v>42589</v>
      </c>
      <c r="C978" s="1">
        <v>42593</v>
      </c>
      <c r="D978" s="1">
        <v>42583</v>
      </c>
      <c r="E978" t="s">
        <v>43</v>
      </c>
      <c r="F978" t="s">
        <v>1997</v>
      </c>
      <c r="G978" t="s">
        <v>1998</v>
      </c>
      <c r="H978" t="s">
        <v>34</v>
      </c>
      <c r="I978" t="s">
        <v>23</v>
      </c>
      <c r="J978" t="s">
        <v>3962</v>
      </c>
      <c r="K978" t="s">
        <v>3529</v>
      </c>
      <c r="L978">
        <v>83704</v>
      </c>
      <c r="M978" t="s">
        <v>37</v>
      </c>
      <c r="N978" t="s">
        <v>2886</v>
      </c>
      <c r="O978" t="s">
        <v>39</v>
      </c>
      <c r="P978" t="s">
        <v>71</v>
      </c>
      <c r="Q978" t="s">
        <v>2887</v>
      </c>
      <c r="R978">
        <v>3304</v>
      </c>
    </row>
    <row r="979" spans="1:18" x14ac:dyDescent="0.3">
      <c r="A979" t="s">
        <v>3963</v>
      </c>
      <c r="B979" s="1">
        <v>42087</v>
      </c>
      <c r="C979" s="1">
        <v>42091</v>
      </c>
      <c r="D979" s="1">
        <v>42064</v>
      </c>
      <c r="E979" t="s">
        <v>43</v>
      </c>
      <c r="F979" t="s">
        <v>3964</v>
      </c>
      <c r="G979" t="s">
        <v>3965</v>
      </c>
      <c r="H979" t="s">
        <v>22</v>
      </c>
      <c r="I979" t="s">
        <v>23</v>
      </c>
      <c r="J979" t="s">
        <v>206</v>
      </c>
      <c r="K979" t="s">
        <v>207</v>
      </c>
      <c r="L979">
        <v>10024</v>
      </c>
      <c r="M979" t="s">
        <v>117</v>
      </c>
      <c r="N979" t="s">
        <v>3966</v>
      </c>
      <c r="O979" t="s">
        <v>39</v>
      </c>
      <c r="P979" t="s">
        <v>63</v>
      </c>
      <c r="Q979" t="s">
        <v>3967</v>
      </c>
      <c r="R979">
        <v>249</v>
      </c>
    </row>
    <row r="980" spans="1:18" x14ac:dyDescent="0.3">
      <c r="A980" t="s">
        <v>3968</v>
      </c>
      <c r="B980" s="1">
        <v>43269</v>
      </c>
      <c r="C980" s="1">
        <v>43274</v>
      </c>
      <c r="D980" s="1">
        <v>43252</v>
      </c>
      <c r="E980" t="s">
        <v>43</v>
      </c>
      <c r="F980" t="s">
        <v>1063</v>
      </c>
      <c r="G980" t="s">
        <v>1064</v>
      </c>
      <c r="H980" t="s">
        <v>22</v>
      </c>
      <c r="I980" t="s">
        <v>23</v>
      </c>
      <c r="J980" t="s">
        <v>35</v>
      </c>
      <c r="K980" t="s">
        <v>36</v>
      </c>
      <c r="L980">
        <v>90032</v>
      </c>
      <c r="M980" t="s">
        <v>37</v>
      </c>
      <c r="N980" t="s">
        <v>2453</v>
      </c>
      <c r="O980" t="s">
        <v>28</v>
      </c>
      <c r="P980" t="s">
        <v>29</v>
      </c>
      <c r="Q980" t="s">
        <v>2454</v>
      </c>
      <c r="R980">
        <v>9179235</v>
      </c>
    </row>
    <row r="981" spans="1:18" x14ac:dyDescent="0.3">
      <c r="A981" t="s">
        <v>3969</v>
      </c>
      <c r="B981" s="1">
        <v>43243</v>
      </c>
      <c r="C981" s="1">
        <v>43249</v>
      </c>
      <c r="D981" s="1">
        <v>43221</v>
      </c>
      <c r="E981" t="s">
        <v>43</v>
      </c>
      <c r="F981" t="s">
        <v>3970</v>
      </c>
      <c r="G981" t="s">
        <v>3971</v>
      </c>
      <c r="H981" t="s">
        <v>22</v>
      </c>
      <c r="I981" t="s">
        <v>23</v>
      </c>
      <c r="J981" t="s">
        <v>35</v>
      </c>
      <c r="K981" t="s">
        <v>36</v>
      </c>
      <c r="L981">
        <v>90036</v>
      </c>
      <c r="M981" t="s">
        <v>37</v>
      </c>
      <c r="N981" t="s">
        <v>1781</v>
      </c>
      <c r="O981" t="s">
        <v>28</v>
      </c>
      <c r="P981" t="s">
        <v>49</v>
      </c>
      <c r="Q981" t="s">
        <v>1782</v>
      </c>
      <c r="R981">
        <v>171288</v>
      </c>
    </row>
    <row r="982" spans="1:18" x14ac:dyDescent="0.3">
      <c r="A982" t="s">
        <v>3972</v>
      </c>
      <c r="B982" s="1">
        <v>42055</v>
      </c>
      <c r="C982" s="1">
        <v>42061</v>
      </c>
      <c r="D982" s="1">
        <v>42036</v>
      </c>
      <c r="E982" t="s">
        <v>43</v>
      </c>
      <c r="F982" t="s">
        <v>157</v>
      </c>
      <c r="G982" t="s">
        <v>158</v>
      </c>
      <c r="H982" t="s">
        <v>34</v>
      </c>
      <c r="I982" t="s">
        <v>23</v>
      </c>
      <c r="J982" t="s">
        <v>1269</v>
      </c>
      <c r="K982" t="s">
        <v>200</v>
      </c>
      <c r="L982">
        <v>47374</v>
      </c>
      <c r="M982" t="s">
        <v>79</v>
      </c>
      <c r="N982" t="s">
        <v>3973</v>
      </c>
      <c r="O982" t="s">
        <v>147</v>
      </c>
      <c r="P982" t="s">
        <v>180</v>
      </c>
      <c r="Q982" t="s">
        <v>3974</v>
      </c>
      <c r="R982">
        <v>6231</v>
      </c>
    </row>
    <row r="983" spans="1:18" x14ac:dyDescent="0.3">
      <c r="A983" t="s">
        <v>3975</v>
      </c>
      <c r="B983" s="1">
        <v>42310</v>
      </c>
      <c r="C983" s="1">
        <v>42314</v>
      </c>
      <c r="D983" s="1">
        <v>42309</v>
      </c>
      <c r="E983" t="s">
        <v>43</v>
      </c>
      <c r="F983" t="s">
        <v>3976</v>
      </c>
      <c r="G983" t="s">
        <v>3977</v>
      </c>
      <c r="H983" t="s">
        <v>22</v>
      </c>
      <c r="I983" t="s">
        <v>23</v>
      </c>
      <c r="J983" t="s">
        <v>206</v>
      </c>
      <c r="K983" t="s">
        <v>207</v>
      </c>
      <c r="L983">
        <v>10024</v>
      </c>
      <c r="M983" t="s">
        <v>117</v>
      </c>
      <c r="N983" t="s">
        <v>1858</v>
      </c>
      <c r="O983" t="s">
        <v>39</v>
      </c>
      <c r="P983" t="s">
        <v>40</v>
      </c>
      <c r="Q983" t="s">
        <v>1859</v>
      </c>
      <c r="R983">
        <v>3486</v>
      </c>
    </row>
    <row r="984" spans="1:18" x14ac:dyDescent="0.3">
      <c r="A984" t="s">
        <v>3978</v>
      </c>
      <c r="B984" s="1">
        <v>42287</v>
      </c>
      <c r="C984" s="1">
        <v>42287</v>
      </c>
      <c r="D984" s="1">
        <v>42278</v>
      </c>
      <c r="E984" t="s">
        <v>857</v>
      </c>
      <c r="F984" t="s">
        <v>1048</v>
      </c>
      <c r="G984" t="s">
        <v>1049</v>
      </c>
      <c r="H984" t="s">
        <v>76</v>
      </c>
      <c r="I984" t="s">
        <v>23</v>
      </c>
      <c r="J984" t="s">
        <v>3000</v>
      </c>
      <c r="K984" t="s">
        <v>36</v>
      </c>
      <c r="L984">
        <v>95336</v>
      </c>
      <c r="M984" t="s">
        <v>37</v>
      </c>
      <c r="N984" t="s">
        <v>118</v>
      </c>
      <c r="O984" t="s">
        <v>28</v>
      </c>
      <c r="P984" t="s">
        <v>119</v>
      </c>
      <c r="Q984" t="s">
        <v>120</v>
      </c>
      <c r="R984">
        <v>122352</v>
      </c>
    </row>
    <row r="985" spans="1:18" x14ac:dyDescent="0.3">
      <c r="A985" t="s">
        <v>3979</v>
      </c>
      <c r="B985" s="1">
        <v>43189</v>
      </c>
      <c r="C985" s="1">
        <v>43190</v>
      </c>
      <c r="D985" s="1">
        <v>43160</v>
      </c>
      <c r="E985" t="s">
        <v>142</v>
      </c>
      <c r="F985" t="s">
        <v>3980</v>
      </c>
      <c r="G985" t="s">
        <v>3981</v>
      </c>
      <c r="H985" t="s">
        <v>22</v>
      </c>
      <c r="I985" t="s">
        <v>23</v>
      </c>
      <c r="J985" t="s">
        <v>2875</v>
      </c>
      <c r="K985" t="s">
        <v>474</v>
      </c>
      <c r="L985">
        <v>73120</v>
      </c>
      <c r="M985" t="s">
        <v>79</v>
      </c>
      <c r="N985" t="s">
        <v>3982</v>
      </c>
      <c r="O985" t="s">
        <v>39</v>
      </c>
      <c r="P985" t="s">
        <v>154</v>
      </c>
      <c r="Q985" t="s">
        <v>3983</v>
      </c>
      <c r="R985">
        <v>32586</v>
      </c>
    </row>
    <row r="986" spans="1:18" x14ac:dyDescent="0.3">
      <c r="A986" t="s">
        <v>3984</v>
      </c>
      <c r="B986" s="1">
        <v>42563</v>
      </c>
      <c r="C986" s="1">
        <v>42568</v>
      </c>
      <c r="D986" s="1">
        <v>42552</v>
      </c>
      <c r="E986" t="s">
        <v>19</v>
      </c>
      <c r="F986" t="s">
        <v>1177</v>
      </c>
      <c r="G986" t="s">
        <v>1178</v>
      </c>
      <c r="H986" t="s">
        <v>22</v>
      </c>
      <c r="I986" t="s">
        <v>23</v>
      </c>
      <c r="J986" t="s">
        <v>225</v>
      </c>
      <c r="K986" t="s">
        <v>160</v>
      </c>
      <c r="L986">
        <v>60610</v>
      </c>
      <c r="M986" t="s">
        <v>79</v>
      </c>
      <c r="N986" t="s">
        <v>3985</v>
      </c>
      <c r="O986" t="s">
        <v>28</v>
      </c>
      <c r="P986" t="s">
        <v>119</v>
      </c>
      <c r="Q986" t="s">
        <v>3986</v>
      </c>
      <c r="R986">
        <v>383607</v>
      </c>
    </row>
    <row r="987" spans="1:18" x14ac:dyDescent="0.3">
      <c r="A987" t="s">
        <v>3987</v>
      </c>
      <c r="B987" s="1">
        <v>42198</v>
      </c>
      <c r="C987" s="1">
        <v>42202</v>
      </c>
      <c r="D987" s="1">
        <v>42186</v>
      </c>
      <c r="E987" t="s">
        <v>43</v>
      </c>
      <c r="F987" t="s">
        <v>780</v>
      </c>
      <c r="G987" t="s">
        <v>781</v>
      </c>
      <c r="H987" t="s">
        <v>34</v>
      </c>
      <c r="I987" t="s">
        <v>23</v>
      </c>
      <c r="J987" t="s">
        <v>35</v>
      </c>
      <c r="K987" t="s">
        <v>36</v>
      </c>
      <c r="L987">
        <v>90049</v>
      </c>
      <c r="M987" t="s">
        <v>37</v>
      </c>
      <c r="N987" t="s">
        <v>3988</v>
      </c>
      <c r="O987" t="s">
        <v>28</v>
      </c>
      <c r="P987" t="s">
        <v>49</v>
      </c>
      <c r="Q987" t="s">
        <v>3989</v>
      </c>
      <c r="R987">
        <v>351216</v>
      </c>
    </row>
    <row r="988" spans="1:18" x14ac:dyDescent="0.3">
      <c r="A988" t="s">
        <v>3990</v>
      </c>
      <c r="B988" s="1">
        <v>43369</v>
      </c>
      <c r="C988" s="1">
        <v>43373</v>
      </c>
      <c r="D988" s="1">
        <v>43344</v>
      </c>
      <c r="E988" t="s">
        <v>43</v>
      </c>
      <c r="F988" t="s">
        <v>1667</v>
      </c>
      <c r="G988" t="s">
        <v>1668</v>
      </c>
      <c r="H988" t="s">
        <v>76</v>
      </c>
      <c r="I988" t="s">
        <v>23</v>
      </c>
      <c r="J988" t="s">
        <v>3868</v>
      </c>
      <c r="K988" t="s">
        <v>47</v>
      </c>
      <c r="L988">
        <v>33023</v>
      </c>
      <c r="M988" t="s">
        <v>26</v>
      </c>
      <c r="N988" t="s">
        <v>3991</v>
      </c>
      <c r="O988" t="s">
        <v>28</v>
      </c>
      <c r="P988" t="s">
        <v>119</v>
      </c>
      <c r="Q988" t="s">
        <v>3992</v>
      </c>
      <c r="R988">
        <v>419136</v>
      </c>
    </row>
    <row r="989" spans="1:18" x14ac:dyDescent="0.3">
      <c r="A989" t="s">
        <v>3993</v>
      </c>
      <c r="B989" s="1">
        <v>42113</v>
      </c>
      <c r="C989" s="1">
        <v>42115</v>
      </c>
      <c r="D989" s="1">
        <v>42095</v>
      </c>
      <c r="E989" t="s">
        <v>19</v>
      </c>
      <c r="F989" t="s">
        <v>1943</v>
      </c>
      <c r="G989" t="s">
        <v>1944</v>
      </c>
      <c r="H989" t="s">
        <v>76</v>
      </c>
      <c r="I989" t="s">
        <v>23</v>
      </c>
      <c r="J989" t="s">
        <v>459</v>
      </c>
      <c r="K989" t="s">
        <v>36</v>
      </c>
      <c r="L989">
        <v>95123</v>
      </c>
      <c r="M989" t="s">
        <v>37</v>
      </c>
      <c r="N989" t="s">
        <v>1706</v>
      </c>
      <c r="O989" t="s">
        <v>28</v>
      </c>
      <c r="P989" t="s">
        <v>55</v>
      </c>
      <c r="Q989" t="s">
        <v>3994</v>
      </c>
      <c r="R989">
        <v>7614</v>
      </c>
    </row>
    <row r="990" spans="1:18" x14ac:dyDescent="0.3">
      <c r="A990" t="s">
        <v>3995</v>
      </c>
      <c r="B990" s="1">
        <v>42530</v>
      </c>
      <c r="C990" s="1">
        <v>42536</v>
      </c>
      <c r="D990" s="1">
        <v>42522</v>
      </c>
      <c r="E990" t="s">
        <v>43</v>
      </c>
      <c r="F990" t="s">
        <v>1709</v>
      </c>
      <c r="G990" t="s">
        <v>1710</v>
      </c>
      <c r="H990" t="s">
        <v>76</v>
      </c>
      <c r="I990" t="s">
        <v>23</v>
      </c>
      <c r="J990" t="s">
        <v>3996</v>
      </c>
      <c r="K990" t="s">
        <v>239</v>
      </c>
      <c r="L990">
        <v>23666</v>
      </c>
      <c r="M990" t="s">
        <v>26</v>
      </c>
      <c r="N990" t="s">
        <v>1119</v>
      </c>
      <c r="O990" t="s">
        <v>39</v>
      </c>
      <c r="P990" t="s">
        <v>71</v>
      </c>
      <c r="Q990" t="s">
        <v>1120</v>
      </c>
      <c r="R990">
        <v>1131</v>
      </c>
    </row>
    <row r="991" spans="1:18" x14ac:dyDescent="0.3">
      <c r="A991" t="s">
        <v>3997</v>
      </c>
      <c r="B991" s="1">
        <v>42516</v>
      </c>
      <c r="C991" s="1">
        <v>42519</v>
      </c>
      <c r="D991" s="1">
        <v>42491</v>
      </c>
      <c r="E991" t="s">
        <v>19</v>
      </c>
      <c r="F991" t="s">
        <v>3308</v>
      </c>
      <c r="G991" t="s">
        <v>3309</v>
      </c>
      <c r="H991" t="s">
        <v>76</v>
      </c>
      <c r="I991" t="s">
        <v>23</v>
      </c>
      <c r="J991" t="s">
        <v>1007</v>
      </c>
      <c r="K991" t="s">
        <v>61</v>
      </c>
      <c r="L991">
        <v>28540</v>
      </c>
      <c r="M991" t="s">
        <v>26</v>
      </c>
      <c r="N991" t="s">
        <v>3048</v>
      </c>
      <c r="O991" t="s">
        <v>39</v>
      </c>
      <c r="P991" t="s">
        <v>63</v>
      </c>
      <c r="Q991" t="s">
        <v>3049</v>
      </c>
      <c r="R991">
        <v>18272</v>
      </c>
    </row>
    <row r="992" spans="1:18" x14ac:dyDescent="0.3">
      <c r="A992" t="s">
        <v>3998</v>
      </c>
      <c r="B992" s="1">
        <v>42759</v>
      </c>
      <c r="C992" s="1">
        <v>42761</v>
      </c>
      <c r="D992" s="1">
        <v>42736</v>
      </c>
      <c r="E992" t="s">
        <v>19</v>
      </c>
      <c r="F992" t="s">
        <v>3070</v>
      </c>
      <c r="G992" t="s">
        <v>3071</v>
      </c>
      <c r="H992" t="s">
        <v>34</v>
      </c>
      <c r="I992" t="s">
        <v>23</v>
      </c>
      <c r="J992" t="s">
        <v>3999</v>
      </c>
      <c r="K992" t="s">
        <v>984</v>
      </c>
      <c r="L992">
        <v>39503</v>
      </c>
      <c r="M992" t="s">
        <v>26</v>
      </c>
      <c r="N992" t="s">
        <v>4000</v>
      </c>
      <c r="O992" t="s">
        <v>39</v>
      </c>
      <c r="P992" t="s">
        <v>71</v>
      </c>
      <c r="Q992" t="s">
        <v>4001</v>
      </c>
      <c r="R992">
        <v>3136</v>
      </c>
    </row>
    <row r="993" spans="1:18" x14ac:dyDescent="0.3">
      <c r="A993" t="s">
        <v>4002</v>
      </c>
      <c r="B993" s="1">
        <v>42584</v>
      </c>
      <c r="C993" s="1">
        <v>42588</v>
      </c>
      <c r="D993" s="1">
        <v>42583</v>
      </c>
      <c r="E993" t="s">
        <v>43</v>
      </c>
      <c r="F993" t="s">
        <v>2401</v>
      </c>
      <c r="G993" t="s">
        <v>2402</v>
      </c>
      <c r="H993" t="s">
        <v>22</v>
      </c>
      <c r="I993" t="s">
        <v>23</v>
      </c>
      <c r="J993" t="s">
        <v>68</v>
      </c>
      <c r="K993" t="s">
        <v>69</v>
      </c>
      <c r="L993">
        <v>98105</v>
      </c>
      <c r="M993" t="s">
        <v>37</v>
      </c>
      <c r="N993" t="s">
        <v>4003</v>
      </c>
      <c r="O993" t="s">
        <v>39</v>
      </c>
      <c r="P993" t="s">
        <v>71</v>
      </c>
      <c r="Q993" t="s">
        <v>4004</v>
      </c>
      <c r="R993">
        <v>6368</v>
      </c>
    </row>
    <row r="994" spans="1:18" x14ac:dyDescent="0.3">
      <c r="A994" t="s">
        <v>4005</v>
      </c>
      <c r="B994" s="1">
        <v>42154</v>
      </c>
      <c r="C994" s="1">
        <v>42160</v>
      </c>
      <c r="D994" s="1">
        <v>42125</v>
      </c>
      <c r="E994" t="s">
        <v>43</v>
      </c>
      <c r="F994" t="s">
        <v>4006</v>
      </c>
      <c r="G994" t="s">
        <v>4007</v>
      </c>
      <c r="H994" t="s">
        <v>34</v>
      </c>
      <c r="I994" t="s">
        <v>23</v>
      </c>
      <c r="J994" t="s">
        <v>1269</v>
      </c>
      <c r="K994" t="s">
        <v>239</v>
      </c>
      <c r="L994">
        <v>23223</v>
      </c>
      <c r="M994" t="s">
        <v>26</v>
      </c>
      <c r="N994" t="s">
        <v>4008</v>
      </c>
      <c r="O994" t="s">
        <v>39</v>
      </c>
      <c r="P994" t="s">
        <v>63</v>
      </c>
      <c r="Q994" t="s">
        <v>4009</v>
      </c>
      <c r="R994">
        <v>1362</v>
      </c>
    </row>
    <row r="995" spans="1:18" x14ac:dyDescent="0.3">
      <c r="A995" t="s">
        <v>4010</v>
      </c>
      <c r="B995" s="1">
        <v>42851</v>
      </c>
      <c r="C995" s="1">
        <v>42856</v>
      </c>
      <c r="D995" s="1">
        <v>42826</v>
      </c>
      <c r="E995" t="s">
        <v>43</v>
      </c>
      <c r="F995" t="s">
        <v>4011</v>
      </c>
      <c r="G995" t="s">
        <v>4012</v>
      </c>
      <c r="H995" t="s">
        <v>76</v>
      </c>
      <c r="I995" t="s">
        <v>23</v>
      </c>
      <c r="J995" t="s">
        <v>206</v>
      </c>
      <c r="K995" t="s">
        <v>207</v>
      </c>
      <c r="L995">
        <v>10009</v>
      </c>
      <c r="M995" t="s">
        <v>117</v>
      </c>
      <c r="N995" t="s">
        <v>4013</v>
      </c>
      <c r="O995" t="s">
        <v>28</v>
      </c>
      <c r="P995" t="s">
        <v>119</v>
      </c>
      <c r="Q995" t="s">
        <v>4014</v>
      </c>
      <c r="R995">
        <v>434646</v>
      </c>
    </row>
    <row r="996" spans="1:18" x14ac:dyDescent="0.3">
      <c r="A996" t="s">
        <v>4015</v>
      </c>
      <c r="B996" s="1">
        <v>42745</v>
      </c>
      <c r="C996" s="1">
        <v>42752</v>
      </c>
      <c r="D996" s="1">
        <v>42736</v>
      </c>
      <c r="E996" t="s">
        <v>43</v>
      </c>
      <c r="F996" t="s">
        <v>106</v>
      </c>
      <c r="G996" t="s">
        <v>107</v>
      </c>
      <c r="H996" t="s">
        <v>34</v>
      </c>
      <c r="I996" t="s">
        <v>23</v>
      </c>
      <c r="J996" t="s">
        <v>68</v>
      </c>
      <c r="K996" t="s">
        <v>69</v>
      </c>
      <c r="L996">
        <v>98115</v>
      </c>
      <c r="M996" t="s">
        <v>37</v>
      </c>
      <c r="N996" t="s">
        <v>4016</v>
      </c>
      <c r="O996" t="s">
        <v>28</v>
      </c>
      <c r="P996" t="s">
        <v>55</v>
      </c>
      <c r="Q996" t="s">
        <v>4017</v>
      </c>
      <c r="R996">
        <v>7992</v>
      </c>
    </row>
    <row r="997" spans="1:18" x14ac:dyDescent="0.3">
      <c r="A997" t="s">
        <v>4018</v>
      </c>
      <c r="B997" s="1">
        <v>42947</v>
      </c>
      <c r="C997" s="1">
        <v>42953</v>
      </c>
      <c r="D997" s="1">
        <v>42917</v>
      </c>
      <c r="E997" t="s">
        <v>43</v>
      </c>
      <c r="F997" t="s">
        <v>812</v>
      </c>
      <c r="G997" t="s">
        <v>813</v>
      </c>
      <c r="H997" t="s">
        <v>22</v>
      </c>
      <c r="I997" t="s">
        <v>23</v>
      </c>
      <c r="J997" t="s">
        <v>628</v>
      </c>
      <c r="K997" t="s">
        <v>186</v>
      </c>
      <c r="L997">
        <v>48205</v>
      </c>
      <c r="M997" t="s">
        <v>79</v>
      </c>
      <c r="N997" t="s">
        <v>4019</v>
      </c>
      <c r="O997" t="s">
        <v>39</v>
      </c>
      <c r="P997" t="s">
        <v>81</v>
      </c>
      <c r="Q997" t="s">
        <v>4020</v>
      </c>
      <c r="R997">
        <v>28314</v>
      </c>
    </row>
    <row r="998" spans="1:18" x14ac:dyDescent="0.3">
      <c r="A998" t="s">
        <v>4021</v>
      </c>
      <c r="B998" s="1">
        <v>43186</v>
      </c>
      <c r="C998" s="1">
        <v>43188</v>
      </c>
      <c r="D998" s="1">
        <v>43160</v>
      </c>
      <c r="E998" t="s">
        <v>19</v>
      </c>
      <c r="F998" t="s">
        <v>92</v>
      </c>
      <c r="G998" t="s">
        <v>93</v>
      </c>
      <c r="H998" t="s">
        <v>22</v>
      </c>
      <c r="I998" t="s">
        <v>23</v>
      </c>
      <c r="J998" t="s">
        <v>115</v>
      </c>
      <c r="K998" t="s">
        <v>116</v>
      </c>
      <c r="L998">
        <v>19120</v>
      </c>
      <c r="M998" t="s">
        <v>117</v>
      </c>
      <c r="N998" t="s">
        <v>3416</v>
      </c>
      <c r="O998" t="s">
        <v>28</v>
      </c>
      <c r="P998" t="s">
        <v>55</v>
      </c>
      <c r="Q998" t="s">
        <v>3417</v>
      </c>
      <c r="R998">
        <v>15008</v>
      </c>
    </row>
    <row r="999" spans="1:18" x14ac:dyDescent="0.3">
      <c r="A999" t="s">
        <v>4022</v>
      </c>
      <c r="B999" s="1">
        <v>42721</v>
      </c>
      <c r="C999" s="1">
        <v>42721</v>
      </c>
      <c r="D999" s="1">
        <v>42705</v>
      </c>
      <c r="E999" t="s">
        <v>857</v>
      </c>
      <c r="F999" t="s">
        <v>1343</v>
      </c>
      <c r="G999" t="s">
        <v>1344</v>
      </c>
      <c r="H999" t="s">
        <v>22</v>
      </c>
      <c r="I999" t="s">
        <v>23</v>
      </c>
      <c r="J999" t="s">
        <v>628</v>
      </c>
      <c r="K999" t="s">
        <v>186</v>
      </c>
      <c r="L999">
        <v>48205</v>
      </c>
      <c r="M999" t="s">
        <v>79</v>
      </c>
      <c r="N999" t="s">
        <v>2616</v>
      </c>
      <c r="O999" t="s">
        <v>39</v>
      </c>
      <c r="P999" t="s">
        <v>71</v>
      </c>
      <c r="Q999" t="s">
        <v>2617</v>
      </c>
      <c r="R999">
        <v>2952</v>
      </c>
    </row>
    <row r="1000" spans="1:18" x14ac:dyDescent="0.3">
      <c r="A1000" t="s">
        <v>4023</v>
      </c>
      <c r="B1000" s="1">
        <v>42653</v>
      </c>
      <c r="C1000" s="1">
        <v>42654</v>
      </c>
      <c r="D1000" s="1">
        <v>42644</v>
      </c>
      <c r="E1000" t="s">
        <v>142</v>
      </c>
      <c r="F1000" t="s">
        <v>1328</v>
      </c>
      <c r="G1000" t="s">
        <v>1329</v>
      </c>
      <c r="H1000" t="s">
        <v>34</v>
      </c>
      <c r="I1000" t="s">
        <v>23</v>
      </c>
      <c r="J1000" t="s">
        <v>101</v>
      </c>
      <c r="K1000" t="s">
        <v>36</v>
      </c>
      <c r="L1000">
        <v>94109</v>
      </c>
      <c r="M1000" t="s">
        <v>37</v>
      </c>
      <c r="N1000" t="s">
        <v>1810</v>
      </c>
      <c r="O1000" t="s">
        <v>39</v>
      </c>
      <c r="P1000" t="s">
        <v>63</v>
      </c>
      <c r="Q1000" t="s">
        <v>1811</v>
      </c>
      <c r="R1000">
        <v>4536</v>
      </c>
    </row>
    <row r="1001" spans="1:18" x14ac:dyDescent="0.3">
      <c r="A1001" t="s">
        <v>4024</v>
      </c>
      <c r="B1001" s="1">
        <v>42484</v>
      </c>
      <c r="C1001" s="1">
        <v>42488</v>
      </c>
      <c r="D1001" s="1">
        <v>42461</v>
      </c>
      <c r="E1001" t="s">
        <v>43</v>
      </c>
      <c r="F1001" t="s">
        <v>2466</v>
      </c>
      <c r="G1001" t="s">
        <v>2467</v>
      </c>
      <c r="H1001" t="s">
        <v>76</v>
      </c>
      <c r="I1001" t="s">
        <v>23</v>
      </c>
      <c r="J1001" t="s">
        <v>206</v>
      </c>
      <c r="K1001" t="s">
        <v>207</v>
      </c>
      <c r="L1001">
        <v>10009</v>
      </c>
      <c r="M1001" t="s">
        <v>117</v>
      </c>
      <c r="N1001" t="s">
        <v>4025</v>
      </c>
      <c r="O1001" t="s">
        <v>39</v>
      </c>
      <c r="P1001" t="s">
        <v>103</v>
      </c>
      <c r="Q1001" t="s">
        <v>4026</v>
      </c>
      <c r="R1001">
        <v>2599</v>
      </c>
    </row>
    <row r="1002" spans="1:18" x14ac:dyDescent="0.3">
      <c r="A1002" t="s">
        <v>4027</v>
      </c>
      <c r="B1002" s="1">
        <v>42438</v>
      </c>
      <c r="C1002" s="1">
        <v>42441</v>
      </c>
      <c r="D1002" s="1">
        <v>42430</v>
      </c>
      <c r="E1002" t="s">
        <v>142</v>
      </c>
      <c r="F1002" t="s">
        <v>1997</v>
      </c>
      <c r="G1002" t="s">
        <v>1998</v>
      </c>
      <c r="H1002" t="s">
        <v>34</v>
      </c>
      <c r="I1002" t="s">
        <v>23</v>
      </c>
      <c r="J1002" t="s">
        <v>502</v>
      </c>
      <c r="K1002" t="s">
        <v>78</v>
      </c>
      <c r="L1002">
        <v>78207</v>
      </c>
      <c r="M1002" t="s">
        <v>79</v>
      </c>
      <c r="N1002" t="s">
        <v>1789</v>
      </c>
      <c r="O1002" t="s">
        <v>147</v>
      </c>
      <c r="P1002" t="s">
        <v>180</v>
      </c>
      <c r="Q1002" t="s">
        <v>1790</v>
      </c>
      <c r="R1002">
        <v>11352</v>
      </c>
    </row>
    <row r="1003" spans="1:18" x14ac:dyDescent="0.3">
      <c r="A1003" t="s">
        <v>4028</v>
      </c>
      <c r="B1003" s="1">
        <v>42193</v>
      </c>
      <c r="C1003" s="1">
        <v>42195</v>
      </c>
      <c r="D1003" s="1">
        <v>42186</v>
      </c>
      <c r="E1003" t="s">
        <v>142</v>
      </c>
      <c r="F1003" t="s">
        <v>3755</v>
      </c>
      <c r="G1003" t="s">
        <v>3756</v>
      </c>
      <c r="H1003" t="s">
        <v>22</v>
      </c>
      <c r="I1003" t="s">
        <v>23</v>
      </c>
      <c r="J1003" t="s">
        <v>4029</v>
      </c>
      <c r="K1003" t="s">
        <v>207</v>
      </c>
      <c r="L1003">
        <v>14215</v>
      </c>
      <c r="M1003" t="s">
        <v>117</v>
      </c>
      <c r="N1003" t="s">
        <v>3480</v>
      </c>
      <c r="O1003" t="s">
        <v>28</v>
      </c>
      <c r="P1003" t="s">
        <v>119</v>
      </c>
      <c r="Q1003" t="s">
        <v>3481</v>
      </c>
      <c r="R1003">
        <v>63882</v>
      </c>
    </row>
    <row r="1004" spans="1:18" x14ac:dyDescent="0.3">
      <c r="A1004" t="s">
        <v>4030</v>
      </c>
      <c r="B1004" s="1">
        <v>43294</v>
      </c>
      <c r="C1004" s="1">
        <v>43298</v>
      </c>
      <c r="D1004" s="1">
        <v>43282</v>
      </c>
      <c r="E1004" t="s">
        <v>19</v>
      </c>
      <c r="F1004" t="s">
        <v>4031</v>
      </c>
      <c r="G1004" t="s">
        <v>4032</v>
      </c>
      <c r="H1004" t="s">
        <v>22</v>
      </c>
      <c r="I1004" t="s">
        <v>23</v>
      </c>
      <c r="J1004" t="s">
        <v>115</v>
      </c>
      <c r="K1004" t="s">
        <v>116</v>
      </c>
      <c r="L1004">
        <v>19140</v>
      </c>
      <c r="M1004" t="s">
        <v>117</v>
      </c>
      <c r="N1004" t="s">
        <v>4033</v>
      </c>
      <c r="O1004" t="s">
        <v>147</v>
      </c>
      <c r="P1004" t="s">
        <v>148</v>
      </c>
      <c r="Q1004" t="s">
        <v>4034</v>
      </c>
      <c r="R1004">
        <v>39594</v>
      </c>
    </row>
    <row r="1005" spans="1:18" x14ac:dyDescent="0.3">
      <c r="A1005" t="s">
        <v>4035</v>
      </c>
      <c r="B1005" s="1">
        <v>42467</v>
      </c>
      <c r="C1005" s="1">
        <v>42471</v>
      </c>
      <c r="D1005" s="1">
        <v>42461</v>
      </c>
      <c r="E1005" t="s">
        <v>43</v>
      </c>
      <c r="F1005" t="s">
        <v>3824</v>
      </c>
      <c r="G1005" t="s">
        <v>3825</v>
      </c>
      <c r="H1005" t="s">
        <v>22</v>
      </c>
      <c r="I1005" t="s">
        <v>23</v>
      </c>
      <c r="J1005" t="s">
        <v>502</v>
      </c>
      <c r="K1005" t="s">
        <v>78</v>
      </c>
      <c r="L1005">
        <v>78207</v>
      </c>
      <c r="M1005" t="s">
        <v>79</v>
      </c>
      <c r="N1005" t="s">
        <v>4036</v>
      </c>
      <c r="O1005" t="s">
        <v>39</v>
      </c>
      <c r="P1005" t="s">
        <v>81</v>
      </c>
      <c r="Q1005" t="s">
        <v>4037</v>
      </c>
      <c r="R1005">
        <v>463248</v>
      </c>
    </row>
    <row r="1006" spans="1:18" x14ac:dyDescent="0.3">
      <c r="A1006" t="s">
        <v>4038</v>
      </c>
      <c r="B1006" s="1">
        <v>42382</v>
      </c>
      <c r="C1006" s="1">
        <v>42386</v>
      </c>
      <c r="D1006" s="1">
        <v>42370</v>
      </c>
      <c r="E1006" t="s">
        <v>43</v>
      </c>
      <c r="F1006" t="s">
        <v>970</v>
      </c>
      <c r="G1006" t="s">
        <v>971</v>
      </c>
      <c r="H1006" t="s">
        <v>22</v>
      </c>
      <c r="I1006" t="s">
        <v>23</v>
      </c>
      <c r="J1006" t="s">
        <v>35</v>
      </c>
      <c r="K1006" t="s">
        <v>36</v>
      </c>
      <c r="L1006">
        <v>90004</v>
      </c>
      <c r="M1006" t="s">
        <v>37</v>
      </c>
      <c r="N1006" t="s">
        <v>2008</v>
      </c>
      <c r="O1006" t="s">
        <v>39</v>
      </c>
      <c r="P1006" t="s">
        <v>71</v>
      </c>
      <c r="Q1006" t="s">
        <v>2009</v>
      </c>
      <c r="R1006">
        <v>70008</v>
      </c>
    </row>
    <row r="1007" spans="1:18" x14ac:dyDescent="0.3">
      <c r="A1007" t="s">
        <v>4039</v>
      </c>
      <c r="B1007" s="1">
        <v>42291</v>
      </c>
      <c r="C1007" s="1">
        <v>42293</v>
      </c>
      <c r="D1007" s="1">
        <v>42278</v>
      </c>
      <c r="E1007" t="s">
        <v>19</v>
      </c>
      <c r="F1007" t="s">
        <v>2694</v>
      </c>
      <c r="G1007" t="s">
        <v>2695</v>
      </c>
      <c r="H1007" t="s">
        <v>34</v>
      </c>
      <c r="I1007" t="s">
        <v>23</v>
      </c>
      <c r="J1007" t="s">
        <v>60</v>
      </c>
      <c r="K1007" t="s">
        <v>1694</v>
      </c>
      <c r="L1007">
        <v>3301</v>
      </c>
      <c r="M1007" t="s">
        <v>117</v>
      </c>
      <c r="N1007" t="s">
        <v>4040</v>
      </c>
      <c r="O1007" t="s">
        <v>39</v>
      </c>
      <c r="P1007" t="s">
        <v>71</v>
      </c>
      <c r="Q1007" t="s">
        <v>4041</v>
      </c>
      <c r="R1007">
        <v>2292</v>
      </c>
    </row>
    <row r="1008" spans="1:18" x14ac:dyDescent="0.3">
      <c r="A1008" t="s">
        <v>4042</v>
      </c>
      <c r="B1008" s="1">
        <v>42737</v>
      </c>
      <c r="C1008" s="1">
        <v>42742</v>
      </c>
      <c r="D1008" s="1">
        <v>42736</v>
      </c>
      <c r="E1008" t="s">
        <v>43</v>
      </c>
      <c r="F1008" t="s">
        <v>4043</v>
      </c>
      <c r="G1008" t="s">
        <v>4044</v>
      </c>
      <c r="H1008" t="s">
        <v>34</v>
      </c>
      <c r="I1008" t="s">
        <v>23</v>
      </c>
      <c r="J1008" t="s">
        <v>4045</v>
      </c>
      <c r="K1008" t="s">
        <v>1743</v>
      </c>
      <c r="L1008">
        <v>20877</v>
      </c>
      <c r="M1008" t="s">
        <v>117</v>
      </c>
      <c r="N1008" t="s">
        <v>4046</v>
      </c>
      <c r="O1008" t="s">
        <v>28</v>
      </c>
      <c r="P1008" t="s">
        <v>29</v>
      </c>
      <c r="Q1008" t="s">
        <v>4047</v>
      </c>
      <c r="R1008">
        <v>17394</v>
      </c>
    </row>
    <row r="1009" spans="1:18" x14ac:dyDescent="0.3">
      <c r="A1009" t="s">
        <v>4048</v>
      </c>
      <c r="B1009" s="1">
        <v>42444</v>
      </c>
      <c r="C1009" s="1">
        <v>42450</v>
      </c>
      <c r="D1009" s="1">
        <v>42430</v>
      </c>
      <c r="E1009" t="s">
        <v>43</v>
      </c>
      <c r="F1009" t="s">
        <v>4049</v>
      </c>
      <c r="G1009" t="s">
        <v>4050</v>
      </c>
      <c r="H1009" t="s">
        <v>34</v>
      </c>
      <c r="I1009" t="s">
        <v>23</v>
      </c>
      <c r="J1009" t="s">
        <v>4051</v>
      </c>
      <c r="K1009" t="s">
        <v>95</v>
      </c>
      <c r="L1009">
        <v>84043</v>
      </c>
      <c r="M1009" t="s">
        <v>37</v>
      </c>
      <c r="N1009" t="s">
        <v>4052</v>
      </c>
      <c r="O1009" t="s">
        <v>147</v>
      </c>
      <c r="P1009" t="s">
        <v>148</v>
      </c>
      <c r="Q1009" t="s">
        <v>4053</v>
      </c>
      <c r="R1009">
        <v>16776</v>
      </c>
    </row>
    <row r="1010" spans="1:18" x14ac:dyDescent="0.3">
      <c r="A1010" t="s">
        <v>4054</v>
      </c>
      <c r="B1010" s="1">
        <v>43106</v>
      </c>
      <c r="C1010" s="1">
        <v>43113</v>
      </c>
      <c r="D1010" s="1">
        <v>43101</v>
      </c>
      <c r="E1010" t="s">
        <v>43</v>
      </c>
      <c r="F1010" t="s">
        <v>2537</v>
      </c>
      <c r="G1010" t="s">
        <v>2538</v>
      </c>
      <c r="H1010" t="s">
        <v>76</v>
      </c>
      <c r="I1010" t="s">
        <v>23</v>
      </c>
      <c r="J1010" t="s">
        <v>4055</v>
      </c>
      <c r="K1010" t="s">
        <v>1180</v>
      </c>
      <c r="L1010">
        <v>35401</v>
      </c>
      <c r="M1010" t="s">
        <v>26</v>
      </c>
      <c r="N1010" t="s">
        <v>4056</v>
      </c>
      <c r="O1010" t="s">
        <v>39</v>
      </c>
      <c r="P1010" t="s">
        <v>71</v>
      </c>
      <c r="Q1010" t="s">
        <v>4057</v>
      </c>
      <c r="R1010">
        <v>3374</v>
      </c>
    </row>
    <row r="1011" spans="1:18" x14ac:dyDescent="0.3">
      <c r="A1011" t="s">
        <v>4058</v>
      </c>
      <c r="B1011" s="1">
        <v>42070</v>
      </c>
      <c r="C1011" s="1">
        <v>42071</v>
      </c>
      <c r="D1011" s="1">
        <v>42064</v>
      </c>
      <c r="E1011" t="s">
        <v>142</v>
      </c>
      <c r="F1011" t="s">
        <v>4059</v>
      </c>
      <c r="G1011" t="s">
        <v>4060</v>
      </c>
      <c r="H1011" t="s">
        <v>22</v>
      </c>
      <c r="I1011" t="s">
        <v>23</v>
      </c>
      <c r="J1011" t="s">
        <v>68</v>
      </c>
      <c r="K1011" t="s">
        <v>69</v>
      </c>
      <c r="L1011">
        <v>98103</v>
      </c>
      <c r="M1011" t="s">
        <v>37</v>
      </c>
      <c r="N1011" t="s">
        <v>3985</v>
      </c>
      <c r="O1011" t="s">
        <v>28</v>
      </c>
      <c r="P1011" t="s">
        <v>119</v>
      </c>
      <c r="Q1011" t="s">
        <v>3986</v>
      </c>
      <c r="R1011">
        <v>48712</v>
      </c>
    </row>
    <row r="1012" spans="1:18" x14ac:dyDescent="0.3">
      <c r="A1012" t="s">
        <v>4061</v>
      </c>
      <c r="B1012" s="1">
        <v>42250</v>
      </c>
      <c r="C1012" s="1">
        <v>42250</v>
      </c>
      <c r="D1012" s="1">
        <v>42248</v>
      </c>
      <c r="E1012" t="s">
        <v>857</v>
      </c>
      <c r="F1012" t="s">
        <v>4062</v>
      </c>
      <c r="G1012" t="s">
        <v>4063</v>
      </c>
      <c r="H1012" t="s">
        <v>22</v>
      </c>
      <c r="I1012" t="s">
        <v>23</v>
      </c>
      <c r="J1012" t="s">
        <v>206</v>
      </c>
      <c r="K1012" t="s">
        <v>207</v>
      </c>
      <c r="L1012">
        <v>10009</v>
      </c>
      <c r="M1012" t="s">
        <v>117</v>
      </c>
      <c r="N1012" t="s">
        <v>4064</v>
      </c>
      <c r="O1012" t="s">
        <v>39</v>
      </c>
      <c r="P1012" t="s">
        <v>40</v>
      </c>
      <c r="Q1012" t="s">
        <v>4065</v>
      </c>
      <c r="R1012">
        <v>144</v>
      </c>
    </row>
    <row r="1013" spans="1:18" x14ac:dyDescent="0.3">
      <c r="A1013" t="s">
        <v>4066</v>
      </c>
      <c r="B1013" s="1">
        <v>42766</v>
      </c>
      <c r="C1013" s="1">
        <v>42770</v>
      </c>
      <c r="D1013" s="1">
        <v>42736</v>
      </c>
      <c r="E1013" t="s">
        <v>43</v>
      </c>
      <c r="F1013" t="s">
        <v>3733</v>
      </c>
      <c r="G1013" t="s">
        <v>3734</v>
      </c>
      <c r="H1013" t="s">
        <v>76</v>
      </c>
      <c r="I1013" t="s">
        <v>23</v>
      </c>
      <c r="J1013" t="s">
        <v>35</v>
      </c>
      <c r="K1013" t="s">
        <v>36</v>
      </c>
      <c r="L1013">
        <v>90045</v>
      </c>
      <c r="M1013" t="s">
        <v>37</v>
      </c>
      <c r="N1013" t="s">
        <v>4067</v>
      </c>
      <c r="O1013" t="s">
        <v>147</v>
      </c>
      <c r="P1013" t="s">
        <v>148</v>
      </c>
      <c r="Q1013" t="s">
        <v>4068</v>
      </c>
      <c r="R1013">
        <v>109592</v>
      </c>
    </row>
    <row r="1014" spans="1:18" x14ac:dyDescent="0.3">
      <c r="A1014" t="s">
        <v>4069</v>
      </c>
      <c r="B1014" s="1">
        <v>42879</v>
      </c>
      <c r="C1014" s="1">
        <v>42879</v>
      </c>
      <c r="D1014" s="1">
        <v>42856</v>
      </c>
      <c r="E1014" t="s">
        <v>857</v>
      </c>
      <c r="F1014" t="s">
        <v>1369</v>
      </c>
      <c r="G1014" t="s">
        <v>1370</v>
      </c>
      <c r="H1014" t="s">
        <v>76</v>
      </c>
      <c r="I1014" t="s">
        <v>23</v>
      </c>
      <c r="J1014" t="s">
        <v>4070</v>
      </c>
      <c r="K1014" t="s">
        <v>239</v>
      </c>
      <c r="L1014">
        <v>23602</v>
      </c>
      <c r="M1014" t="s">
        <v>26</v>
      </c>
      <c r="N1014" t="s">
        <v>4071</v>
      </c>
      <c r="O1014" t="s">
        <v>39</v>
      </c>
      <c r="P1014" t="s">
        <v>1264</v>
      </c>
      <c r="Q1014" t="s">
        <v>4072</v>
      </c>
      <c r="R1014">
        <v>695</v>
      </c>
    </row>
    <row r="1015" spans="1:18" x14ac:dyDescent="0.3">
      <c r="A1015" t="s">
        <v>4073</v>
      </c>
      <c r="B1015" s="1">
        <v>42124</v>
      </c>
      <c r="C1015" s="1">
        <v>42126</v>
      </c>
      <c r="D1015" s="1">
        <v>42095</v>
      </c>
      <c r="E1015" t="s">
        <v>19</v>
      </c>
      <c r="F1015" t="s">
        <v>3436</v>
      </c>
      <c r="G1015" t="s">
        <v>3437</v>
      </c>
      <c r="H1015" t="s">
        <v>22</v>
      </c>
      <c r="I1015" t="s">
        <v>23</v>
      </c>
      <c r="J1015" t="s">
        <v>248</v>
      </c>
      <c r="K1015" t="s">
        <v>984</v>
      </c>
      <c r="L1015">
        <v>39212</v>
      </c>
      <c r="M1015" t="s">
        <v>26</v>
      </c>
      <c r="N1015" t="s">
        <v>4074</v>
      </c>
      <c r="O1015" t="s">
        <v>147</v>
      </c>
      <c r="P1015" t="s">
        <v>180</v>
      </c>
      <c r="Q1015" t="s">
        <v>4075</v>
      </c>
      <c r="R1015">
        <v>4779</v>
      </c>
    </row>
    <row r="1016" spans="1:18" x14ac:dyDescent="0.3">
      <c r="A1016" t="s">
        <v>4076</v>
      </c>
      <c r="B1016" s="1">
        <v>42621</v>
      </c>
      <c r="C1016" s="1">
        <v>42624</v>
      </c>
      <c r="D1016" s="1">
        <v>42614</v>
      </c>
      <c r="E1016" t="s">
        <v>142</v>
      </c>
      <c r="F1016" t="s">
        <v>3612</v>
      </c>
      <c r="G1016" t="s">
        <v>3613</v>
      </c>
      <c r="H1016" t="s">
        <v>22</v>
      </c>
      <c r="I1016" t="s">
        <v>23</v>
      </c>
      <c r="J1016" t="s">
        <v>4077</v>
      </c>
      <c r="K1016" t="s">
        <v>36</v>
      </c>
      <c r="L1016">
        <v>92553</v>
      </c>
      <c r="M1016" t="s">
        <v>37</v>
      </c>
      <c r="N1016" t="s">
        <v>4078</v>
      </c>
      <c r="O1016" t="s">
        <v>39</v>
      </c>
      <c r="P1016" t="s">
        <v>63</v>
      </c>
      <c r="Q1016" t="s">
        <v>4079</v>
      </c>
      <c r="R1016">
        <v>264</v>
      </c>
    </row>
    <row r="1017" spans="1:18" x14ac:dyDescent="0.3">
      <c r="A1017" t="s">
        <v>4080</v>
      </c>
      <c r="B1017" s="1">
        <v>42828</v>
      </c>
      <c r="C1017" s="1">
        <v>42832</v>
      </c>
      <c r="D1017" s="1">
        <v>42826</v>
      </c>
      <c r="E1017" t="s">
        <v>43</v>
      </c>
      <c r="F1017" t="s">
        <v>1256</v>
      </c>
      <c r="G1017" t="s">
        <v>1257</v>
      </c>
      <c r="H1017" t="s">
        <v>22</v>
      </c>
      <c r="I1017" t="s">
        <v>23</v>
      </c>
      <c r="J1017" t="s">
        <v>115</v>
      </c>
      <c r="K1017" t="s">
        <v>116</v>
      </c>
      <c r="L1017">
        <v>19140</v>
      </c>
      <c r="M1017" t="s">
        <v>117</v>
      </c>
      <c r="N1017" t="s">
        <v>4081</v>
      </c>
      <c r="O1017" t="s">
        <v>39</v>
      </c>
      <c r="P1017" t="s">
        <v>71</v>
      </c>
      <c r="Q1017" t="s">
        <v>4082</v>
      </c>
      <c r="R1017">
        <v>99846</v>
      </c>
    </row>
    <row r="1018" spans="1:18" x14ac:dyDescent="0.3">
      <c r="A1018" t="s">
        <v>4083</v>
      </c>
      <c r="B1018" s="1">
        <v>43215</v>
      </c>
      <c r="C1018" s="1">
        <v>43219</v>
      </c>
      <c r="D1018" s="1">
        <v>43191</v>
      </c>
      <c r="E1018" t="s">
        <v>19</v>
      </c>
      <c r="F1018" t="s">
        <v>2663</v>
      </c>
      <c r="G1018" t="s">
        <v>2664</v>
      </c>
      <c r="H1018" t="s">
        <v>22</v>
      </c>
      <c r="I1018" t="s">
        <v>23</v>
      </c>
      <c r="J1018" t="s">
        <v>35</v>
      </c>
      <c r="K1018" t="s">
        <v>36</v>
      </c>
      <c r="L1018">
        <v>90049</v>
      </c>
      <c r="M1018" t="s">
        <v>37</v>
      </c>
      <c r="N1018" t="s">
        <v>4084</v>
      </c>
      <c r="O1018" t="s">
        <v>39</v>
      </c>
      <c r="P1018" t="s">
        <v>71</v>
      </c>
      <c r="Q1018" t="s">
        <v>4085</v>
      </c>
      <c r="R1018">
        <v>13904</v>
      </c>
    </row>
    <row r="1019" spans="1:18" x14ac:dyDescent="0.3">
      <c r="A1019" t="s">
        <v>4086</v>
      </c>
      <c r="B1019" s="1">
        <v>42114</v>
      </c>
      <c r="C1019" s="1">
        <v>42116</v>
      </c>
      <c r="D1019" s="1">
        <v>42095</v>
      </c>
      <c r="E1019" t="s">
        <v>19</v>
      </c>
      <c r="F1019" t="s">
        <v>1447</v>
      </c>
      <c r="G1019" t="s">
        <v>1448</v>
      </c>
      <c r="H1019" t="s">
        <v>22</v>
      </c>
      <c r="I1019" t="s">
        <v>23</v>
      </c>
      <c r="J1019" t="s">
        <v>138</v>
      </c>
      <c r="K1019" t="s">
        <v>78</v>
      </c>
      <c r="L1019">
        <v>77070</v>
      </c>
      <c r="M1019" t="s">
        <v>79</v>
      </c>
      <c r="N1019" t="s">
        <v>643</v>
      </c>
      <c r="O1019" t="s">
        <v>28</v>
      </c>
      <c r="P1019" t="s">
        <v>49</v>
      </c>
      <c r="Q1019" t="s">
        <v>644</v>
      </c>
      <c r="R1019">
        <v>7441</v>
      </c>
    </row>
    <row r="1020" spans="1:18" x14ac:dyDescent="0.3">
      <c r="A1020" t="s">
        <v>4087</v>
      </c>
      <c r="B1020" s="1">
        <v>43316</v>
      </c>
      <c r="C1020" s="1">
        <v>43319</v>
      </c>
      <c r="D1020" s="1">
        <v>43313</v>
      </c>
      <c r="E1020" t="s">
        <v>142</v>
      </c>
      <c r="F1020" t="s">
        <v>3150</v>
      </c>
      <c r="G1020" t="s">
        <v>3151</v>
      </c>
      <c r="H1020" t="s">
        <v>34</v>
      </c>
      <c r="I1020" t="s">
        <v>23</v>
      </c>
      <c r="J1020" t="s">
        <v>4088</v>
      </c>
      <c r="K1020" t="s">
        <v>346</v>
      </c>
      <c r="L1020">
        <v>80538</v>
      </c>
      <c r="M1020" t="s">
        <v>37</v>
      </c>
      <c r="N1020" t="s">
        <v>4089</v>
      </c>
      <c r="O1020" t="s">
        <v>39</v>
      </c>
      <c r="P1020" t="s">
        <v>63</v>
      </c>
      <c r="Q1020" t="s">
        <v>4090</v>
      </c>
      <c r="R1020">
        <v>7968</v>
      </c>
    </row>
    <row r="1021" spans="1:18" x14ac:dyDescent="0.3">
      <c r="A1021" t="s">
        <v>4091</v>
      </c>
      <c r="B1021" s="1">
        <v>43056</v>
      </c>
      <c r="C1021" s="1">
        <v>43061</v>
      </c>
      <c r="D1021" s="1">
        <v>43040</v>
      </c>
      <c r="E1021" t="s">
        <v>43</v>
      </c>
      <c r="F1021" t="s">
        <v>1759</v>
      </c>
      <c r="G1021" t="s">
        <v>1760</v>
      </c>
      <c r="H1021" t="s">
        <v>22</v>
      </c>
      <c r="I1021" t="s">
        <v>23</v>
      </c>
      <c r="J1021" t="s">
        <v>490</v>
      </c>
      <c r="K1021" t="s">
        <v>491</v>
      </c>
      <c r="L1021">
        <v>88220</v>
      </c>
      <c r="M1021" t="s">
        <v>37</v>
      </c>
      <c r="N1021" t="s">
        <v>3799</v>
      </c>
      <c r="O1021" t="s">
        <v>39</v>
      </c>
      <c r="P1021" t="s">
        <v>71</v>
      </c>
      <c r="Q1021" t="s">
        <v>3800</v>
      </c>
      <c r="R1021">
        <v>10776</v>
      </c>
    </row>
    <row r="1022" spans="1:18" x14ac:dyDescent="0.3">
      <c r="A1022" t="s">
        <v>4092</v>
      </c>
      <c r="B1022" s="1">
        <v>42542</v>
      </c>
      <c r="C1022" s="1">
        <v>42548</v>
      </c>
      <c r="D1022" s="1">
        <v>42522</v>
      </c>
      <c r="E1022" t="s">
        <v>43</v>
      </c>
      <c r="F1022" t="s">
        <v>1190</v>
      </c>
      <c r="G1022" t="s">
        <v>1191</v>
      </c>
      <c r="H1022" t="s">
        <v>22</v>
      </c>
      <c r="I1022" t="s">
        <v>23</v>
      </c>
      <c r="J1022" t="s">
        <v>4093</v>
      </c>
      <c r="K1022" t="s">
        <v>47</v>
      </c>
      <c r="L1022">
        <v>32725</v>
      </c>
      <c r="M1022" t="s">
        <v>26</v>
      </c>
      <c r="N1022" t="s">
        <v>2700</v>
      </c>
      <c r="O1022" t="s">
        <v>147</v>
      </c>
      <c r="P1022" t="s">
        <v>148</v>
      </c>
      <c r="Q1022" t="s">
        <v>2701</v>
      </c>
      <c r="R1022">
        <v>107976</v>
      </c>
    </row>
    <row r="1023" spans="1:18" x14ac:dyDescent="0.3">
      <c r="A1023" t="s">
        <v>4094</v>
      </c>
      <c r="B1023" s="1">
        <v>42215</v>
      </c>
      <c r="C1023" s="1">
        <v>42221</v>
      </c>
      <c r="D1023" s="1">
        <v>42186</v>
      </c>
      <c r="E1023" t="s">
        <v>43</v>
      </c>
      <c r="F1023" t="s">
        <v>4095</v>
      </c>
      <c r="G1023" t="s">
        <v>4096</v>
      </c>
      <c r="H1023" t="s">
        <v>34</v>
      </c>
      <c r="I1023" t="s">
        <v>23</v>
      </c>
      <c r="J1023" t="s">
        <v>68</v>
      </c>
      <c r="K1023" t="s">
        <v>69</v>
      </c>
      <c r="L1023">
        <v>98103</v>
      </c>
      <c r="M1023" t="s">
        <v>37</v>
      </c>
      <c r="N1023" t="s">
        <v>3615</v>
      </c>
      <c r="O1023" t="s">
        <v>28</v>
      </c>
      <c r="P1023" t="s">
        <v>29</v>
      </c>
      <c r="Q1023" t="s">
        <v>3616</v>
      </c>
      <c r="R1023">
        <v>136784</v>
      </c>
    </row>
    <row r="1024" spans="1:18" x14ac:dyDescent="0.3">
      <c r="A1024" t="s">
        <v>4097</v>
      </c>
      <c r="B1024" s="1">
        <v>42882</v>
      </c>
      <c r="C1024" s="1">
        <v>42884</v>
      </c>
      <c r="D1024" s="1">
        <v>42856</v>
      </c>
      <c r="E1024" t="s">
        <v>19</v>
      </c>
      <c r="F1024" t="s">
        <v>892</v>
      </c>
      <c r="G1024" t="s">
        <v>893</v>
      </c>
      <c r="H1024" t="s">
        <v>34</v>
      </c>
      <c r="I1024" t="s">
        <v>23</v>
      </c>
      <c r="J1024" t="s">
        <v>628</v>
      </c>
      <c r="K1024" t="s">
        <v>186</v>
      </c>
      <c r="L1024">
        <v>48205</v>
      </c>
      <c r="M1024" t="s">
        <v>79</v>
      </c>
      <c r="N1024" t="s">
        <v>4098</v>
      </c>
      <c r="O1024" t="s">
        <v>28</v>
      </c>
      <c r="P1024" t="s">
        <v>119</v>
      </c>
      <c r="Q1024" t="s">
        <v>4099</v>
      </c>
      <c r="R1024">
        <v>35049</v>
      </c>
    </row>
    <row r="1025" spans="1:18" x14ac:dyDescent="0.3">
      <c r="A1025" t="s">
        <v>4100</v>
      </c>
      <c r="B1025" s="1">
        <v>42626</v>
      </c>
      <c r="C1025" s="1">
        <v>42631</v>
      </c>
      <c r="D1025" s="1">
        <v>42614</v>
      </c>
      <c r="E1025" t="s">
        <v>43</v>
      </c>
      <c r="F1025" t="s">
        <v>1273</v>
      </c>
      <c r="G1025" t="s">
        <v>1274</v>
      </c>
      <c r="H1025" t="s">
        <v>22</v>
      </c>
      <c r="I1025" t="s">
        <v>23</v>
      </c>
      <c r="J1025" t="s">
        <v>376</v>
      </c>
      <c r="K1025" t="s">
        <v>200</v>
      </c>
      <c r="L1025">
        <v>47201</v>
      </c>
      <c r="M1025" t="s">
        <v>79</v>
      </c>
      <c r="N1025" t="s">
        <v>4101</v>
      </c>
      <c r="O1025" t="s">
        <v>147</v>
      </c>
      <c r="P1025" t="s">
        <v>180</v>
      </c>
      <c r="Q1025" t="s">
        <v>4102</v>
      </c>
      <c r="R1025">
        <v>19996</v>
      </c>
    </row>
    <row r="1026" spans="1:18" x14ac:dyDescent="0.3">
      <c r="A1026" t="s">
        <v>4103</v>
      </c>
      <c r="B1026" s="1">
        <v>43225</v>
      </c>
      <c r="C1026" s="1">
        <v>43229</v>
      </c>
      <c r="D1026" s="1">
        <v>43221</v>
      </c>
      <c r="E1026" t="s">
        <v>43</v>
      </c>
      <c r="F1026" t="s">
        <v>1195</v>
      </c>
      <c r="G1026" t="s">
        <v>1196</v>
      </c>
      <c r="H1026" t="s">
        <v>22</v>
      </c>
      <c r="I1026" t="s">
        <v>23</v>
      </c>
      <c r="J1026" t="s">
        <v>101</v>
      </c>
      <c r="K1026" t="s">
        <v>36</v>
      </c>
      <c r="L1026">
        <v>94122</v>
      </c>
      <c r="M1026" t="s">
        <v>37</v>
      </c>
      <c r="N1026" t="s">
        <v>4104</v>
      </c>
      <c r="O1026" t="s">
        <v>39</v>
      </c>
      <c r="P1026" t="s">
        <v>154</v>
      </c>
      <c r="Q1026" t="s">
        <v>4105</v>
      </c>
      <c r="R1026">
        <v>2316</v>
      </c>
    </row>
    <row r="1027" spans="1:18" x14ac:dyDescent="0.3">
      <c r="A1027" t="s">
        <v>4106</v>
      </c>
      <c r="B1027" s="1">
        <v>42134</v>
      </c>
      <c r="C1027" s="1">
        <v>42139</v>
      </c>
      <c r="D1027" s="1">
        <v>42125</v>
      </c>
      <c r="E1027" t="s">
        <v>43</v>
      </c>
      <c r="F1027" t="s">
        <v>4107</v>
      </c>
      <c r="G1027" t="s">
        <v>4108</v>
      </c>
      <c r="H1027" t="s">
        <v>22</v>
      </c>
      <c r="I1027" t="s">
        <v>23</v>
      </c>
      <c r="J1027" t="s">
        <v>3006</v>
      </c>
      <c r="K1027" t="s">
        <v>69</v>
      </c>
      <c r="L1027">
        <v>98031</v>
      </c>
      <c r="M1027" t="s">
        <v>37</v>
      </c>
      <c r="N1027" t="s">
        <v>4109</v>
      </c>
      <c r="O1027" t="s">
        <v>39</v>
      </c>
      <c r="P1027" t="s">
        <v>154</v>
      </c>
      <c r="Q1027" t="s">
        <v>4110</v>
      </c>
      <c r="R1027">
        <v>15813</v>
      </c>
    </row>
    <row r="1028" spans="1:18" x14ac:dyDescent="0.3">
      <c r="A1028" t="s">
        <v>4111</v>
      </c>
      <c r="B1028" s="1">
        <v>42381</v>
      </c>
      <c r="C1028" s="1">
        <v>42387</v>
      </c>
      <c r="D1028" s="1">
        <v>42370</v>
      </c>
      <c r="E1028" t="s">
        <v>43</v>
      </c>
      <c r="F1028" t="s">
        <v>4112</v>
      </c>
      <c r="G1028" t="s">
        <v>4113</v>
      </c>
      <c r="H1028" t="s">
        <v>34</v>
      </c>
      <c r="I1028" t="s">
        <v>23</v>
      </c>
      <c r="J1028" t="s">
        <v>447</v>
      </c>
      <c r="K1028" t="s">
        <v>193</v>
      </c>
      <c r="L1028">
        <v>19711</v>
      </c>
      <c r="M1028" t="s">
        <v>117</v>
      </c>
      <c r="N1028" t="s">
        <v>4114</v>
      </c>
      <c r="O1028" t="s">
        <v>39</v>
      </c>
      <c r="P1028" t="s">
        <v>89</v>
      </c>
      <c r="Q1028" t="s">
        <v>4115</v>
      </c>
      <c r="R1028">
        <v>46518</v>
      </c>
    </row>
    <row r="1029" spans="1:18" x14ac:dyDescent="0.3">
      <c r="A1029" t="s">
        <v>4116</v>
      </c>
      <c r="B1029" s="1">
        <v>42169</v>
      </c>
      <c r="C1029" s="1">
        <v>42175</v>
      </c>
      <c r="D1029" s="1">
        <v>42156</v>
      </c>
      <c r="E1029" t="s">
        <v>43</v>
      </c>
      <c r="F1029" t="s">
        <v>3509</v>
      </c>
      <c r="G1029" t="s">
        <v>3510</v>
      </c>
      <c r="H1029" t="s">
        <v>76</v>
      </c>
      <c r="I1029" t="s">
        <v>23</v>
      </c>
      <c r="J1029" t="s">
        <v>628</v>
      </c>
      <c r="K1029" t="s">
        <v>186</v>
      </c>
      <c r="L1029">
        <v>48234</v>
      </c>
      <c r="M1029" t="s">
        <v>79</v>
      </c>
      <c r="N1029" t="s">
        <v>4117</v>
      </c>
      <c r="O1029" t="s">
        <v>28</v>
      </c>
      <c r="P1029" t="s">
        <v>29</v>
      </c>
      <c r="Q1029" t="s">
        <v>4118</v>
      </c>
      <c r="R1029">
        <v>21294</v>
      </c>
    </row>
    <row r="1030" spans="1:18" x14ac:dyDescent="0.3">
      <c r="A1030" t="s">
        <v>4119</v>
      </c>
      <c r="B1030" s="1">
        <v>42907</v>
      </c>
      <c r="C1030" s="1">
        <v>42912</v>
      </c>
      <c r="D1030" s="1">
        <v>42887</v>
      </c>
      <c r="E1030" t="s">
        <v>43</v>
      </c>
      <c r="F1030" t="s">
        <v>3147</v>
      </c>
      <c r="G1030" t="s">
        <v>3148</v>
      </c>
      <c r="H1030" t="s">
        <v>22</v>
      </c>
      <c r="I1030" t="s">
        <v>23</v>
      </c>
      <c r="J1030" t="s">
        <v>206</v>
      </c>
      <c r="K1030" t="s">
        <v>207</v>
      </c>
      <c r="L1030">
        <v>10011</v>
      </c>
      <c r="M1030" t="s">
        <v>117</v>
      </c>
      <c r="N1030" t="s">
        <v>3370</v>
      </c>
      <c r="O1030" t="s">
        <v>39</v>
      </c>
      <c r="P1030" t="s">
        <v>71</v>
      </c>
      <c r="Q1030" t="s">
        <v>3371</v>
      </c>
      <c r="R1030">
        <v>3656</v>
      </c>
    </row>
    <row r="1031" spans="1:18" x14ac:dyDescent="0.3">
      <c r="A1031" t="s">
        <v>4120</v>
      </c>
      <c r="B1031" s="1">
        <v>43334</v>
      </c>
      <c r="C1031" s="1">
        <v>43335</v>
      </c>
      <c r="D1031" s="1">
        <v>43313</v>
      </c>
      <c r="E1031" t="s">
        <v>142</v>
      </c>
      <c r="F1031" t="s">
        <v>3980</v>
      </c>
      <c r="G1031" t="s">
        <v>3981</v>
      </c>
      <c r="H1031" t="s">
        <v>22</v>
      </c>
      <c r="I1031" t="s">
        <v>23</v>
      </c>
      <c r="J1031" t="s">
        <v>101</v>
      </c>
      <c r="K1031" t="s">
        <v>36</v>
      </c>
      <c r="L1031">
        <v>94110</v>
      </c>
      <c r="M1031" t="s">
        <v>37</v>
      </c>
      <c r="N1031" t="s">
        <v>383</v>
      </c>
      <c r="O1031" t="s">
        <v>28</v>
      </c>
      <c r="P1031" t="s">
        <v>49</v>
      </c>
      <c r="Q1031" t="s">
        <v>384</v>
      </c>
      <c r="R1031">
        <v>210008</v>
      </c>
    </row>
    <row r="1032" spans="1:18" x14ac:dyDescent="0.3">
      <c r="A1032" t="s">
        <v>4121</v>
      </c>
      <c r="B1032" s="1">
        <v>42949</v>
      </c>
      <c r="C1032" s="1">
        <v>42951</v>
      </c>
      <c r="D1032" s="1">
        <v>42948</v>
      </c>
      <c r="E1032" t="s">
        <v>19</v>
      </c>
      <c r="F1032" t="s">
        <v>4122</v>
      </c>
      <c r="G1032" t="s">
        <v>4123</v>
      </c>
      <c r="H1032" t="s">
        <v>34</v>
      </c>
      <c r="I1032" t="s">
        <v>23</v>
      </c>
      <c r="J1032" t="s">
        <v>35</v>
      </c>
      <c r="K1032" t="s">
        <v>36</v>
      </c>
      <c r="L1032">
        <v>90032</v>
      </c>
      <c r="M1032" t="s">
        <v>37</v>
      </c>
      <c r="N1032" t="s">
        <v>4124</v>
      </c>
      <c r="O1032" t="s">
        <v>28</v>
      </c>
      <c r="P1032" t="s">
        <v>49</v>
      </c>
      <c r="Q1032" t="s">
        <v>4125</v>
      </c>
      <c r="R1032">
        <v>136464</v>
      </c>
    </row>
    <row r="1033" spans="1:18" x14ac:dyDescent="0.3">
      <c r="A1033" t="s">
        <v>4126</v>
      </c>
      <c r="B1033" s="1">
        <v>42511</v>
      </c>
      <c r="C1033" s="1">
        <v>42517</v>
      </c>
      <c r="D1033" s="1">
        <v>42491</v>
      </c>
      <c r="E1033" t="s">
        <v>43</v>
      </c>
      <c r="F1033" t="s">
        <v>252</v>
      </c>
      <c r="G1033" t="s">
        <v>253</v>
      </c>
      <c r="H1033" t="s">
        <v>22</v>
      </c>
      <c r="I1033" t="s">
        <v>23</v>
      </c>
      <c r="J1033" t="s">
        <v>4127</v>
      </c>
      <c r="K1033" t="s">
        <v>160</v>
      </c>
      <c r="L1033">
        <v>60423</v>
      </c>
      <c r="M1033" t="s">
        <v>79</v>
      </c>
      <c r="N1033" t="s">
        <v>330</v>
      </c>
      <c r="O1033" t="s">
        <v>39</v>
      </c>
      <c r="P1033" t="s">
        <v>81</v>
      </c>
      <c r="Q1033" t="s">
        <v>331</v>
      </c>
      <c r="R1033">
        <v>20768</v>
      </c>
    </row>
    <row r="1034" spans="1:18" x14ac:dyDescent="0.3">
      <c r="A1034" t="s">
        <v>4128</v>
      </c>
      <c r="B1034" s="1">
        <v>43103</v>
      </c>
      <c r="C1034" s="1">
        <v>43108</v>
      </c>
      <c r="D1034" s="1">
        <v>43101</v>
      </c>
      <c r="E1034" t="s">
        <v>43</v>
      </c>
      <c r="F1034" t="s">
        <v>1843</v>
      </c>
      <c r="G1034" t="s">
        <v>1844</v>
      </c>
      <c r="H1034" t="s">
        <v>22</v>
      </c>
      <c r="I1034" t="s">
        <v>23</v>
      </c>
      <c r="J1034" t="s">
        <v>2950</v>
      </c>
      <c r="K1034" t="s">
        <v>36</v>
      </c>
      <c r="L1034">
        <v>91730</v>
      </c>
      <c r="M1034" t="s">
        <v>37</v>
      </c>
      <c r="N1034" t="s">
        <v>4129</v>
      </c>
      <c r="O1034" t="s">
        <v>39</v>
      </c>
      <c r="P1034" t="s">
        <v>63</v>
      </c>
      <c r="Q1034" t="s">
        <v>4130</v>
      </c>
      <c r="R1034">
        <v>3888</v>
      </c>
    </row>
    <row r="1035" spans="1:18" x14ac:dyDescent="0.3">
      <c r="A1035" t="s">
        <v>4131</v>
      </c>
      <c r="B1035" s="1">
        <v>43373</v>
      </c>
      <c r="C1035" s="1">
        <v>43376</v>
      </c>
      <c r="D1035" s="1">
        <v>43344</v>
      </c>
      <c r="E1035" t="s">
        <v>142</v>
      </c>
      <c r="F1035" t="s">
        <v>4132</v>
      </c>
      <c r="G1035" t="s">
        <v>4133</v>
      </c>
      <c r="H1035" t="s">
        <v>34</v>
      </c>
      <c r="I1035" t="s">
        <v>23</v>
      </c>
      <c r="J1035" t="s">
        <v>68</v>
      </c>
      <c r="K1035" t="s">
        <v>69</v>
      </c>
      <c r="L1035">
        <v>98103</v>
      </c>
      <c r="M1035" t="s">
        <v>37</v>
      </c>
      <c r="N1035" t="s">
        <v>3578</v>
      </c>
      <c r="O1035" t="s">
        <v>39</v>
      </c>
      <c r="P1035" t="s">
        <v>63</v>
      </c>
      <c r="Q1035" t="s">
        <v>3579</v>
      </c>
      <c r="R1035">
        <v>1176</v>
      </c>
    </row>
    <row r="1036" spans="1:18" x14ac:dyDescent="0.3">
      <c r="A1036" t="s">
        <v>4134</v>
      </c>
      <c r="B1036" s="1">
        <v>43116</v>
      </c>
      <c r="C1036" s="1">
        <v>43116</v>
      </c>
      <c r="D1036" s="1">
        <v>43101</v>
      </c>
      <c r="E1036" t="s">
        <v>857</v>
      </c>
      <c r="F1036" t="s">
        <v>3649</v>
      </c>
      <c r="G1036" t="s">
        <v>3650</v>
      </c>
      <c r="H1036" t="s">
        <v>34</v>
      </c>
      <c r="I1036" t="s">
        <v>23</v>
      </c>
      <c r="J1036" t="s">
        <v>35</v>
      </c>
      <c r="K1036" t="s">
        <v>36</v>
      </c>
      <c r="L1036">
        <v>90008</v>
      </c>
      <c r="M1036" t="s">
        <v>37</v>
      </c>
      <c r="N1036" t="s">
        <v>54</v>
      </c>
      <c r="O1036" t="s">
        <v>28</v>
      </c>
      <c r="P1036" t="s">
        <v>55</v>
      </c>
      <c r="Q1036" t="s">
        <v>56</v>
      </c>
      <c r="R1036">
        <v>2792</v>
      </c>
    </row>
    <row r="1037" spans="1:18" x14ac:dyDescent="0.3">
      <c r="A1037" t="s">
        <v>4135</v>
      </c>
      <c r="B1037" s="1">
        <v>42345</v>
      </c>
      <c r="C1037" s="1">
        <v>42351</v>
      </c>
      <c r="D1037" s="1">
        <v>42339</v>
      </c>
      <c r="E1037" t="s">
        <v>43</v>
      </c>
      <c r="F1037" t="s">
        <v>792</v>
      </c>
      <c r="G1037" t="s">
        <v>793</v>
      </c>
      <c r="H1037" t="s">
        <v>22</v>
      </c>
      <c r="I1037" t="s">
        <v>23</v>
      </c>
      <c r="J1037" t="s">
        <v>1878</v>
      </c>
      <c r="K1037" t="s">
        <v>239</v>
      </c>
      <c r="L1037">
        <v>23464</v>
      </c>
      <c r="M1037" t="s">
        <v>26</v>
      </c>
      <c r="N1037" t="s">
        <v>2255</v>
      </c>
      <c r="O1037" t="s">
        <v>39</v>
      </c>
      <c r="P1037" t="s">
        <v>63</v>
      </c>
      <c r="Q1037" t="s">
        <v>2256</v>
      </c>
      <c r="R1037">
        <v>10552</v>
      </c>
    </row>
    <row r="1038" spans="1:18" x14ac:dyDescent="0.3">
      <c r="A1038" t="s">
        <v>4136</v>
      </c>
      <c r="B1038" s="1">
        <v>42968</v>
      </c>
      <c r="C1038" s="1">
        <v>42974</v>
      </c>
      <c r="D1038" s="1">
        <v>42948</v>
      </c>
      <c r="E1038" t="s">
        <v>43</v>
      </c>
      <c r="F1038" t="s">
        <v>4137</v>
      </c>
      <c r="G1038" t="s">
        <v>4138</v>
      </c>
      <c r="H1038" t="s">
        <v>76</v>
      </c>
      <c r="I1038" t="s">
        <v>23</v>
      </c>
      <c r="J1038" t="s">
        <v>4139</v>
      </c>
      <c r="K1038" t="s">
        <v>61</v>
      </c>
      <c r="L1038">
        <v>27834</v>
      </c>
      <c r="M1038" t="s">
        <v>26</v>
      </c>
      <c r="N1038" t="s">
        <v>4140</v>
      </c>
      <c r="O1038" t="s">
        <v>39</v>
      </c>
      <c r="P1038" t="s">
        <v>40</v>
      </c>
      <c r="Q1038" t="s">
        <v>4141</v>
      </c>
      <c r="R1038">
        <v>9216</v>
      </c>
    </row>
    <row r="1039" spans="1:18" x14ac:dyDescent="0.3">
      <c r="A1039" t="s">
        <v>4142</v>
      </c>
      <c r="B1039" s="1">
        <v>42010</v>
      </c>
      <c r="C1039" s="1">
        <v>42012</v>
      </c>
      <c r="D1039" s="1">
        <v>42005</v>
      </c>
      <c r="E1039" t="s">
        <v>19</v>
      </c>
      <c r="F1039" t="s">
        <v>4143</v>
      </c>
      <c r="G1039" t="s">
        <v>4144</v>
      </c>
      <c r="H1039" t="s">
        <v>22</v>
      </c>
      <c r="I1039" t="s">
        <v>23</v>
      </c>
      <c r="J1039" t="s">
        <v>35</v>
      </c>
      <c r="K1039" t="s">
        <v>36</v>
      </c>
      <c r="L1039">
        <v>90049</v>
      </c>
      <c r="M1039" t="s">
        <v>37</v>
      </c>
      <c r="N1039" t="s">
        <v>4145</v>
      </c>
      <c r="O1039" t="s">
        <v>39</v>
      </c>
      <c r="P1039" t="s">
        <v>63</v>
      </c>
      <c r="Q1039" t="s">
        <v>4146</v>
      </c>
      <c r="R1039">
        <v>1944</v>
      </c>
    </row>
    <row r="1040" spans="1:18" x14ac:dyDescent="0.3">
      <c r="A1040" t="s">
        <v>4147</v>
      </c>
      <c r="B1040" s="1">
        <v>42373</v>
      </c>
      <c r="C1040" s="1">
        <v>42379</v>
      </c>
      <c r="D1040" s="1">
        <v>42370</v>
      </c>
      <c r="E1040" t="s">
        <v>43</v>
      </c>
      <c r="F1040" t="s">
        <v>1530</v>
      </c>
      <c r="G1040" t="s">
        <v>1531</v>
      </c>
      <c r="H1040" t="s">
        <v>34</v>
      </c>
      <c r="I1040" t="s">
        <v>23</v>
      </c>
      <c r="J1040" t="s">
        <v>4148</v>
      </c>
      <c r="K1040" t="s">
        <v>178</v>
      </c>
      <c r="L1040">
        <v>55125</v>
      </c>
      <c r="M1040" t="s">
        <v>79</v>
      </c>
      <c r="N1040" t="s">
        <v>4149</v>
      </c>
      <c r="O1040" t="s">
        <v>39</v>
      </c>
      <c r="P1040" t="s">
        <v>71</v>
      </c>
      <c r="Q1040" t="s">
        <v>4150</v>
      </c>
      <c r="R1040">
        <v>3234</v>
      </c>
    </row>
    <row r="1041" spans="1:18" x14ac:dyDescent="0.3">
      <c r="A1041" t="s">
        <v>4151</v>
      </c>
      <c r="B1041" s="1">
        <v>42022</v>
      </c>
      <c r="C1041" s="1">
        <v>42025</v>
      </c>
      <c r="D1041" s="1">
        <v>42005</v>
      </c>
      <c r="E1041" t="s">
        <v>19</v>
      </c>
      <c r="F1041" t="s">
        <v>4152</v>
      </c>
      <c r="G1041" t="s">
        <v>4153</v>
      </c>
      <c r="H1041" t="s">
        <v>34</v>
      </c>
      <c r="I1041" t="s">
        <v>23</v>
      </c>
      <c r="J1041" t="s">
        <v>238</v>
      </c>
      <c r="K1041" t="s">
        <v>313</v>
      </c>
      <c r="L1041">
        <v>97477</v>
      </c>
      <c r="M1041" t="s">
        <v>37</v>
      </c>
      <c r="N1041" t="s">
        <v>4154</v>
      </c>
      <c r="O1041" t="s">
        <v>39</v>
      </c>
      <c r="P1041" t="s">
        <v>81</v>
      </c>
      <c r="Q1041" t="s">
        <v>4155</v>
      </c>
      <c r="R1041">
        <v>64864</v>
      </c>
    </row>
    <row r="1042" spans="1:18" x14ac:dyDescent="0.3">
      <c r="A1042" t="s">
        <v>4156</v>
      </c>
      <c r="B1042" s="1">
        <v>42667</v>
      </c>
      <c r="C1042" s="1">
        <v>42673</v>
      </c>
      <c r="D1042" s="1">
        <v>42644</v>
      </c>
      <c r="E1042" t="s">
        <v>43</v>
      </c>
      <c r="F1042" t="s">
        <v>719</v>
      </c>
      <c r="G1042" t="s">
        <v>720</v>
      </c>
      <c r="H1042" t="s">
        <v>34</v>
      </c>
      <c r="I1042" t="s">
        <v>23</v>
      </c>
      <c r="J1042" t="s">
        <v>138</v>
      </c>
      <c r="K1042" t="s">
        <v>78</v>
      </c>
      <c r="L1042">
        <v>77041</v>
      </c>
      <c r="M1042" t="s">
        <v>79</v>
      </c>
      <c r="N1042" t="s">
        <v>307</v>
      </c>
      <c r="O1042" t="s">
        <v>39</v>
      </c>
      <c r="P1042" t="s">
        <v>63</v>
      </c>
      <c r="Q1042" t="s">
        <v>308</v>
      </c>
      <c r="R1042">
        <v>15552</v>
      </c>
    </row>
    <row r="1043" spans="1:18" x14ac:dyDescent="0.3">
      <c r="A1043" t="s">
        <v>4157</v>
      </c>
      <c r="B1043" s="1">
        <v>42961</v>
      </c>
      <c r="C1043" s="1">
        <v>42965</v>
      </c>
      <c r="D1043" s="1">
        <v>42948</v>
      </c>
      <c r="E1043" t="s">
        <v>43</v>
      </c>
      <c r="F1043" t="s">
        <v>4158</v>
      </c>
      <c r="G1043" t="s">
        <v>4159</v>
      </c>
      <c r="H1043" t="s">
        <v>22</v>
      </c>
      <c r="I1043" t="s">
        <v>23</v>
      </c>
      <c r="J1043" t="s">
        <v>35</v>
      </c>
      <c r="K1043" t="s">
        <v>36</v>
      </c>
      <c r="L1043">
        <v>90045</v>
      </c>
      <c r="M1043" t="s">
        <v>37</v>
      </c>
      <c r="N1043" t="s">
        <v>4160</v>
      </c>
      <c r="O1043" t="s">
        <v>39</v>
      </c>
      <c r="P1043" t="s">
        <v>63</v>
      </c>
      <c r="Q1043" t="s">
        <v>4161</v>
      </c>
      <c r="R1043">
        <v>1554</v>
      </c>
    </row>
    <row r="1044" spans="1:18" x14ac:dyDescent="0.3">
      <c r="A1044" t="s">
        <v>4162</v>
      </c>
      <c r="B1044" s="1">
        <v>43149</v>
      </c>
      <c r="C1044" s="1">
        <v>43152</v>
      </c>
      <c r="D1044" s="1">
        <v>43132</v>
      </c>
      <c r="E1044" t="s">
        <v>19</v>
      </c>
      <c r="F1044" t="s">
        <v>362</v>
      </c>
      <c r="G1044" t="s">
        <v>363</v>
      </c>
      <c r="H1044" t="s">
        <v>34</v>
      </c>
      <c r="I1044" t="s">
        <v>23</v>
      </c>
      <c r="J1044" t="s">
        <v>35</v>
      </c>
      <c r="K1044" t="s">
        <v>36</v>
      </c>
      <c r="L1044">
        <v>90045</v>
      </c>
      <c r="M1044" t="s">
        <v>37</v>
      </c>
      <c r="N1044" t="s">
        <v>4163</v>
      </c>
      <c r="O1044" t="s">
        <v>147</v>
      </c>
      <c r="P1044" t="s">
        <v>148</v>
      </c>
      <c r="Q1044" t="s">
        <v>4164</v>
      </c>
      <c r="R1044">
        <v>167976</v>
      </c>
    </row>
    <row r="1045" spans="1:18" x14ac:dyDescent="0.3">
      <c r="A1045" t="s">
        <v>4165</v>
      </c>
      <c r="B1045" s="1">
        <v>43336</v>
      </c>
      <c r="C1045" s="1">
        <v>43341</v>
      </c>
      <c r="D1045" s="1">
        <v>43313</v>
      </c>
      <c r="E1045" t="s">
        <v>43</v>
      </c>
      <c r="F1045" t="s">
        <v>734</v>
      </c>
      <c r="G1045" t="s">
        <v>735</v>
      </c>
      <c r="H1045" t="s">
        <v>34</v>
      </c>
      <c r="I1045" t="s">
        <v>23</v>
      </c>
      <c r="J1045" t="s">
        <v>206</v>
      </c>
      <c r="K1045" t="s">
        <v>207</v>
      </c>
      <c r="L1045">
        <v>10024</v>
      </c>
      <c r="M1045" t="s">
        <v>117</v>
      </c>
      <c r="N1045" t="s">
        <v>4166</v>
      </c>
      <c r="O1045" t="s">
        <v>39</v>
      </c>
      <c r="P1045" t="s">
        <v>71</v>
      </c>
      <c r="Q1045" t="s">
        <v>4167</v>
      </c>
      <c r="R1045">
        <v>24672</v>
      </c>
    </row>
    <row r="1046" spans="1:18" x14ac:dyDescent="0.3">
      <c r="A1046" t="s">
        <v>4168</v>
      </c>
      <c r="B1046" s="1">
        <v>42825</v>
      </c>
      <c r="C1046" s="1">
        <v>42827</v>
      </c>
      <c r="D1046" s="1">
        <v>42795</v>
      </c>
      <c r="E1046" t="s">
        <v>19</v>
      </c>
      <c r="F1046" t="s">
        <v>1256</v>
      </c>
      <c r="G1046" t="s">
        <v>1257</v>
      </c>
      <c r="H1046" t="s">
        <v>22</v>
      </c>
      <c r="I1046" t="s">
        <v>23</v>
      </c>
      <c r="J1046" t="s">
        <v>115</v>
      </c>
      <c r="K1046" t="s">
        <v>116</v>
      </c>
      <c r="L1046">
        <v>19134</v>
      </c>
      <c r="M1046" t="s">
        <v>117</v>
      </c>
      <c r="N1046" t="s">
        <v>4169</v>
      </c>
      <c r="O1046" t="s">
        <v>147</v>
      </c>
      <c r="P1046" t="s">
        <v>148</v>
      </c>
      <c r="Q1046" t="s">
        <v>4170</v>
      </c>
      <c r="R1046">
        <v>280782</v>
      </c>
    </row>
    <row r="1047" spans="1:18" x14ac:dyDescent="0.3">
      <c r="A1047" t="s">
        <v>4171</v>
      </c>
      <c r="B1047" s="1">
        <v>43218</v>
      </c>
      <c r="C1047" s="1">
        <v>43222</v>
      </c>
      <c r="D1047" s="1">
        <v>43191</v>
      </c>
      <c r="E1047" t="s">
        <v>43</v>
      </c>
      <c r="F1047" t="s">
        <v>1149</v>
      </c>
      <c r="G1047" t="s">
        <v>1150</v>
      </c>
      <c r="H1047" t="s">
        <v>34</v>
      </c>
      <c r="I1047" t="s">
        <v>23</v>
      </c>
      <c r="J1047" t="s">
        <v>115</v>
      </c>
      <c r="K1047" t="s">
        <v>116</v>
      </c>
      <c r="L1047">
        <v>19143</v>
      </c>
      <c r="M1047" t="s">
        <v>117</v>
      </c>
      <c r="N1047" t="s">
        <v>1187</v>
      </c>
      <c r="O1047" t="s">
        <v>39</v>
      </c>
      <c r="P1047" t="s">
        <v>89</v>
      </c>
      <c r="Q1047" t="s">
        <v>1188</v>
      </c>
      <c r="R1047">
        <v>8384</v>
      </c>
    </row>
    <row r="1048" spans="1:18" x14ac:dyDescent="0.3">
      <c r="A1048" t="s">
        <v>4172</v>
      </c>
      <c r="B1048" s="1">
        <v>42023</v>
      </c>
      <c r="C1048" s="1">
        <v>42024</v>
      </c>
      <c r="D1048" s="1">
        <v>42005</v>
      </c>
      <c r="E1048" t="s">
        <v>142</v>
      </c>
      <c r="F1048" t="s">
        <v>1861</v>
      </c>
      <c r="G1048" t="s">
        <v>1862</v>
      </c>
      <c r="H1048" t="s">
        <v>22</v>
      </c>
      <c r="I1048" t="s">
        <v>23</v>
      </c>
      <c r="J1048" t="s">
        <v>453</v>
      </c>
      <c r="K1048" t="s">
        <v>232</v>
      </c>
      <c r="L1048">
        <v>85254</v>
      </c>
      <c r="M1048" t="s">
        <v>37</v>
      </c>
      <c r="N1048" t="s">
        <v>4149</v>
      </c>
      <c r="O1048" t="s">
        <v>39</v>
      </c>
      <c r="P1048" t="s">
        <v>71</v>
      </c>
      <c r="Q1048" t="s">
        <v>4150</v>
      </c>
      <c r="R1048">
        <v>3234</v>
      </c>
    </row>
    <row r="1049" spans="1:18" x14ac:dyDescent="0.3">
      <c r="A1049" t="s">
        <v>4173</v>
      </c>
      <c r="B1049" s="1">
        <v>42049</v>
      </c>
      <c r="C1049" s="1">
        <v>42054</v>
      </c>
      <c r="D1049" s="1">
        <v>42036</v>
      </c>
      <c r="E1049" t="s">
        <v>19</v>
      </c>
      <c r="F1049" t="s">
        <v>3663</v>
      </c>
      <c r="G1049" t="s">
        <v>3664</v>
      </c>
      <c r="H1049" t="s">
        <v>22</v>
      </c>
      <c r="I1049" t="s">
        <v>23</v>
      </c>
      <c r="J1049" t="s">
        <v>138</v>
      </c>
      <c r="K1049" t="s">
        <v>78</v>
      </c>
      <c r="L1049">
        <v>77095</v>
      </c>
      <c r="M1049" t="s">
        <v>79</v>
      </c>
      <c r="N1049" t="s">
        <v>4174</v>
      </c>
      <c r="O1049" t="s">
        <v>39</v>
      </c>
      <c r="P1049" t="s">
        <v>63</v>
      </c>
      <c r="Q1049" t="s">
        <v>4175</v>
      </c>
      <c r="R1049">
        <v>16176</v>
      </c>
    </row>
    <row r="1050" spans="1:18" x14ac:dyDescent="0.3">
      <c r="A1050" t="s">
        <v>4176</v>
      </c>
      <c r="B1050" s="1">
        <v>43381</v>
      </c>
      <c r="C1050" s="1">
        <v>43387</v>
      </c>
      <c r="D1050" s="1">
        <v>43374</v>
      </c>
      <c r="E1050" t="s">
        <v>43</v>
      </c>
      <c r="F1050" t="s">
        <v>1530</v>
      </c>
      <c r="G1050" t="s">
        <v>1531</v>
      </c>
      <c r="H1050" t="s">
        <v>34</v>
      </c>
      <c r="I1050" t="s">
        <v>23</v>
      </c>
      <c r="J1050" t="s">
        <v>663</v>
      </c>
      <c r="K1050" t="s">
        <v>36</v>
      </c>
      <c r="L1050">
        <v>92105</v>
      </c>
      <c r="M1050" t="s">
        <v>37</v>
      </c>
      <c r="N1050" t="s">
        <v>4177</v>
      </c>
      <c r="O1050" t="s">
        <v>147</v>
      </c>
      <c r="P1050" t="s">
        <v>148</v>
      </c>
      <c r="Q1050" t="s">
        <v>4178</v>
      </c>
      <c r="R1050">
        <v>103192</v>
      </c>
    </row>
    <row r="1051" spans="1:18" x14ac:dyDescent="0.3">
      <c r="A1051" t="s">
        <v>4179</v>
      </c>
      <c r="B1051" s="1">
        <v>42651</v>
      </c>
      <c r="C1051" s="1">
        <v>42655</v>
      </c>
      <c r="D1051" s="1">
        <v>42644</v>
      </c>
      <c r="E1051" t="s">
        <v>43</v>
      </c>
      <c r="F1051" t="s">
        <v>576</v>
      </c>
      <c r="G1051" t="s">
        <v>577</v>
      </c>
      <c r="H1051" t="s">
        <v>22</v>
      </c>
      <c r="I1051" t="s">
        <v>23</v>
      </c>
      <c r="J1051" t="s">
        <v>101</v>
      </c>
      <c r="K1051" t="s">
        <v>36</v>
      </c>
      <c r="L1051">
        <v>94122</v>
      </c>
      <c r="M1051" t="s">
        <v>37</v>
      </c>
      <c r="N1051" t="s">
        <v>761</v>
      </c>
      <c r="O1051" t="s">
        <v>28</v>
      </c>
      <c r="P1051" t="s">
        <v>55</v>
      </c>
      <c r="Q1051" t="s">
        <v>762</v>
      </c>
      <c r="R1051">
        <v>1459</v>
      </c>
    </row>
    <row r="1052" spans="1:18" x14ac:dyDescent="0.3">
      <c r="A1052" t="s">
        <v>4180</v>
      </c>
      <c r="B1052" s="1">
        <v>42059</v>
      </c>
      <c r="C1052" s="1">
        <v>42065</v>
      </c>
      <c r="D1052" s="1">
        <v>42036</v>
      </c>
      <c r="E1052" t="s">
        <v>43</v>
      </c>
      <c r="F1052" t="s">
        <v>4181</v>
      </c>
      <c r="G1052" t="s">
        <v>4182</v>
      </c>
      <c r="H1052" t="s">
        <v>22</v>
      </c>
      <c r="I1052" t="s">
        <v>23</v>
      </c>
      <c r="J1052" t="s">
        <v>4183</v>
      </c>
      <c r="K1052" t="s">
        <v>313</v>
      </c>
      <c r="L1052">
        <v>97504</v>
      </c>
      <c r="M1052" t="s">
        <v>37</v>
      </c>
      <c r="N1052" t="s">
        <v>4184</v>
      </c>
      <c r="O1052" t="s">
        <v>39</v>
      </c>
      <c r="P1052" t="s">
        <v>63</v>
      </c>
      <c r="Q1052" t="s">
        <v>4185</v>
      </c>
      <c r="R1052">
        <v>32896</v>
      </c>
    </row>
    <row r="1053" spans="1:18" x14ac:dyDescent="0.3">
      <c r="A1053" t="s">
        <v>4186</v>
      </c>
      <c r="B1053" s="1">
        <v>42520</v>
      </c>
      <c r="C1053" s="1">
        <v>42522</v>
      </c>
      <c r="D1053" s="1">
        <v>42491</v>
      </c>
      <c r="E1053" t="s">
        <v>142</v>
      </c>
      <c r="F1053" t="s">
        <v>4187</v>
      </c>
      <c r="G1053" t="s">
        <v>4188</v>
      </c>
      <c r="H1053" t="s">
        <v>22</v>
      </c>
      <c r="I1053" t="s">
        <v>23</v>
      </c>
      <c r="J1053" t="s">
        <v>206</v>
      </c>
      <c r="K1053" t="s">
        <v>207</v>
      </c>
      <c r="L1053">
        <v>10009</v>
      </c>
      <c r="M1053" t="s">
        <v>117</v>
      </c>
      <c r="N1053" t="s">
        <v>4189</v>
      </c>
      <c r="O1053" t="s">
        <v>147</v>
      </c>
      <c r="P1053" t="s">
        <v>148</v>
      </c>
      <c r="Q1053" t="s">
        <v>4190</v>
      </c>
      <c r="R1053">
        <v>23997</v>
      </c>
    </row>
    <row r="1054" spans="1:18" x14ac:dyDescent="0.3">
      <c r="A1054" t="s">
        <v>4191</v>
      </c>
      <c r="B1054" s="1">
        <v>42460</v>
      </c>
      <c r="C1054" s="1">
        <v>42464</v>
      </c>
      <c r="D1054" s="1">
        <v>42430</v>
      </c>
      <c r="E1054" t="s">
        <v>43</v>
      </c>
      <c r="F1054" t="s">
        <v>4192</v>
      </c>
      <c r="G1054" t="s">
        <v>4193</v>
      </c>
      <c r="H1054" t="s">
        <v>34</v>
      </c>
      <c r="I1054" t="s">
        <v>23</v>
      </c>
      <c r="J1054" t="s">
        <v>1007</v>
      </c>
      <c r="K1054" t="s">
        <v>47</v>
      </c>
      <c r="L1054">
        <v>32216</v>
      </c>
      <c r="M1054" t="s">
        <v>26</v>
      </c>
      <c r="N1054" t="s">
        <v>1306</v>
      </c>
      <c r="O1054" t="s">
        <v>147</v>
      </c>
      <c r="P1054" t="s">
        <v>148</v>
      </c>
      <c r="Q1054" t="s">
        <v>1307</v>
      </c>
      <c r="R1054">
        <v>7996</v>
      </c>
    </row>
    <row r="1055" spans="1:18" x14ac:dyDescent="0.3">
      <c r="A1055" t="s">
        <v>4194</v>
      </c>
      <c r="B1055" s="1">
        <v>43242</v>
      </c>
      <c r="C1055" s="1">
        <v>43246</v>
      </c>
      <c r="D1055" s="1">
        <v>43221</v>
      </c>
      <c r="E1055" t="s">
        <v>43</v>
      </c>
      <c r="F1055" t="s">
        <v>1539</v>
      </c>
      <c r="G1055" t="s">
        <v>1540</v>
      </c>
      <c r="H1055" t="s">
        <v>22</v>
      </c>
      <c r="I1055" t="s">
        <v>23</v>
      </c>
      <c r="J1055" t="s">
        <v>225</v>
      </c>
      <c r="K1055" t="s">
        <v>160</v>
      </c>
      <c r="L1055">
        <v>60653</v>
      </c>
      <c r="M1055" t="s">
        <v>79</v>
      </c>
      <c r="N1055" t="s">
        <v>256</v>
      </c>
      <c r="O1055" t="s">
        <v>28</v>
      </c>
      <c r="P1055" t="s">
        <v>119</v>
      </c>
      <c r="Q1055" t="s">
        <v>257</v>
      </c>
      <c r="R1055">
        <v>181986</v>
      </c>
    </row>
    <row r="1056" spans="1:18" x14ac:dyDescent="0.3">
      <c r="A1056" t="s">
        <v>4195</v>
      </c>
      <c r="B1056" s="1">
        <v>43088</v>
      </c>
      <c r="C1056" s="1">
        <v>43094</v>
      </c>
      <c r="D1056" s="1">
        <v>43070</v>
      </c>
      <c r="E1056" t="s">
        <v>43</v>
      </c>
      <c r="F1056" t="s">
        <v>169</v>
      </c>
      <c r="G1056" t="s">
        <v>170</v>
      </c>
      <c r="H1056" t="s">
        <v>34</v>
      </c>
      <c r="I1056" t="s">
        <v>23</v>
      </c>
      <c r="J1056" t="s">
        <v>872</v>
      </c>
      <c r="K1056" t="s">
        <v>232</v>
      </c>
      <c r="L1056">
        <v>85705</v>
      </c>
      <c r="M1056" t="s">
        <v>37</v>
      </c>
      <c r="N1056" t="s">
        <v>4196</v>
      </c>
      <c r="O1056" t="s">
        <v>28</v>
      </c>
      <c r="P1056" t="s">
        <v>49</v>
      </c>
      <c r="Q1056" t="s">
        <v>4197</v>
      </c>
      <c r="R1056">
        <v>45597</v>
      </c>
    </row>
    <row r="1057" spans="1:18" x14ac:dyDescent="0.3">
      <c r="A1057" t="s">
        <v>4198</v>
      </c>
      <c r="B1057" s="1">
        <v>43377</v>
      </c>
      <c r="C1057" s="1">
        <v>43381</v>
      </c>
      <c r="D1057" s="1">
        <v>43374</v>
      </c>
      <c r="E1057" t="s">
        <v>43</v>
      </c>
      <c r="F1057" t="s">
        <v>223</v>
      </c>
      <c r="G1057" t="s">
        <v>224</v>
      </c>
      <c r="H1057" t="s">
        <v>76</v>
      </c>
      <c r="I1057" t="s">
        <v>23</v>
      </c>
      <c r="J1057" t="s">
        <v>2271</v>
      </c>
      <c r="K1057" t="s">
        <v>1743</v>
      </c>
      <c r="L1057">
        <v>20735</v>
      </c>
      <c r="M1057" t="s">
        <v>117</v>
      </c>
      <c r="N1057" t="s">
        <v>4016</v>
      </c>
      <c r="O1057" t="s">
        <v>28</v>
      </c>
      <c r="P1057" t="s">
        <v>55</v>
      </c>
      <c r="Q1057" t="s">
        <v>4017</v>
      </c>
      <c r="R1057">
        <v>1998</v>
      </c>
    </row>
    <row r="1058" spans="1:18" x14ac:dyDescent="0.3">
      <c r="A1058" t="s">
        <v>4199</v>
      </c>
      <c r="B1058" s="1">
        <v>42768</v>
      </c>
      <c r="C1058" s="1">
        <v>42773</v>
      </c>
      <c r="D1058" s="1">
        <v>42767</v>
      </c>
      <c r="E1058" t="s">
        <v>43</v>
      </c>
      <c r="F1058" t="s">
        <v>2305</v>
      </c>
      <c r="G1058" t="s">
        <v>2306</v>
      </c>
      <c r="H1058" t="s">
        <v>22</v>
      </c>
      <c r="I1058" t="s">
        <v>23</v>
      </c>
      <c r="J1058" t="s">
        <v>206</v>
      </c>
      <c r="K1058" t="s">
        <v>207</v>
      </c>
      <c r="L1058">
        <v>10011</v>
      </c>
      <c r="M1058" t="s">
        <v>117</v>
      </c>
      <c r="N1058" t="s">
        <v>4200</v>
      </c>
      <c r="O1058" t="s">
        <v>39</v>
      </c>
      <c r="P1058" t="s">
        <v>89</v>
      </c>
      <c r="Q1058" t="s">
        <v>4201</v>
      </c>
      <c r="R1058">
        <v>11796</v>
      </c>
    </row>
    <row r="1059" spans="1:18" x14ac:dyDescent="0.3">
      <c r="A1059" t="s">
        <v>4202</v>
      </c>
      <c r="B1059" s="1">
        <v>43032</v>
      </c>
      <c r="C1059" s="1">
        <v>43036</v>
      </c>
      <c r="D1059" s="1">
        <v>43009</v>
      </c>
      <c r="E1059" t="s">
        <v>19</v>
      </c>
      <c r="F1059" t="s">
        <v>611</v>
      </c>
      <c r="G1059" t="s">
        <v>612</v>
      </c>
      <c r="H1059" t="s">
        <v>34</v>
      </c>
      <c r="I1059" t="s">
        <v>23</v>
      </c>
      <c r="J1059" t="s">
        <v>35</v>
      </c>
      <c r="K1059" t="s">
        <v>36</v>
      </c>
      <c r="L1059">
        <v>90032</v>
      </c>
      <c r="M1059" t="s">
        <v>37</v>
      </c>
      <c r="N1059" t="s">
        <v>2638</v>
      </c>
      <c r="O1059" t="s">
        <v>147</v>
      </c>
      <c r="P1059" t="s">
        <v>180</v>
      </c>
      <c r="Q1059" t="s">
        <v>2639</v>
      </c>
      <c r="R1059">
        <v>100</v>
      </c>
    </row>
    <row r="1060" spans="1:18" x14ac:dyDescent="0.3">
      <c r="A1060" t="s">
        <v>4203</v>
      </c>
      <c r="B1060" s="1">
        <v>42046</v>
      </c>
      <c r="C1060" s="1">
        <v>42050</v>
      </c>
      <c r="D1060" s="1">
        <v>42036</v>
      </c>
      <c r="E1060" t="s">
        <v>43</v>
      </c>
      <c r="F1060" t="s">
        <v>982</v>
      </c>
      <c r="G1060" t="s">
        <v>983</v>
      </c>
      <c r="H1060" t="s">
        <v>22</v>
      </c>
      <c r="I1060" t="s">
        <v>23</v>
      </c>
      <c r="J1060" t="s">
        <v>2892</v>
      </c>
      <c r="K1060" t="s">
        <v>239</v>
      </c>
      <c r="L1060">
        <v>23320</v>
      </c>
      <c r="M1060" t="s">
        <v>26</v>
      </c>
      <c r="N1060" t="s">
        <v>1203</v>
      </c>
      <c r="O1060" t="s">
        <v>147</v>
      </c>
      <c r="P1060" t="s">
        <v>180</v>
      </c>
      <c r="Q1060" t="s">
        <v>1204</v>
      </c>
      <c r="R1060">
        <v>23445</v>
      </c>
    </row>
    <row r="1061" spans="1:18" x14ac:dyDescent="0.3">
      <c r="A1061" t="s">
        <v>4204</v>
      </c>
      <c r="B1061" s="1">
        <v>42359</v>
      </c>
      <c r="C1061" s="1">
        <v>42365</v>
      </c>
      <c r="D1061" s="1">
        <v>42339</v>
      </c>
      <c r="E1061" t="s">
        <v>43</v>
      </c>
      <c r="F1061" t="s">
        <v>1594</v>
      </c>
      <c r="G1061" t="s">
        <v>1595</v>
      </c>
      <c r="H1061" t="s">
        <v>22</v>
      </c>
      <c r="I1061" t="s">
        <v>23</v>
      </c>
      <c r="J1061" t="s">
        <v>663</v>
      </c>
      <c r="K1061" t="s">
        <v>36</v>
      </c>
      <c r="L1061">
        <v>92024</v>
      </c>
      <c r="M1061" t="s">
        <v>37</v>
      </c>
      <c r="N1061" t="s">
        <v>4205</v>
      </c>
      <c r="O1061" t="s">
        <v>28</v>
      </c>
      <c r="P1061" t="s">
        <v>119</v>
      </c>
      <c r="Q1061" t="s">
        <v>4206</v>
      </c>
      <c r="R1061">
        <v>132576</v>
      </c>
    </row>
    <row r="1062" spans="1:18" x14ac:dyDescent="0.3">
      <c r="A1062" t="s">
        <v>4207</v>
      </c>
      <c r="B1062" s="1">
        <v>42505</v>
      </c>
      <c r="C1062" s="1">
        <v>42510</v>
      </c>
      <c r="D1062" s="1">
        <v>42491</v>
      </c>
      <c r="E1062" t="s">
        <v>19</v>
      </c>
      <c r="F1062" t="s">
        <v>3652</v>
      </c>
      <c r="G1062" t="s">
        <v>3653</v>
      </c>
      <c r="H1062" t="s">
        <v>34</v>
      </c>
      <c r="I1062" t="s">
        <v>23</v>
      </c>
      <c r="J1062" t="s">
        <v>2018</v>
      </c>
      <c r="K1062" t="s">
        <v>845</v>
      </c>
      <c r="L1062">
        <v>30076</v>
      </c>
      <c r="M1062" t="s">
        <v>26</v>
      </c>
      <c r="N1062" t="s">
        <v>4208</v>
      </c>
      <c r="O1062" t="s">
        <v>39</v>
      </c>
      <c r="P1062" t="s">
        <v>154</v>
      </c>
      <c r="Q1062" t="s">
        <v>4209</v>
      </c>
      <c r="R1062">
        <v>1794</v>
      </c>
    </row>
    <row r="1063" spans="1:18" x14ac:dyDescent="0.3">
      <c r="A1063" t="s">
        <v>4210</v>
      </c>
      <c r="B1063" s="1">
        <v>42152</v>
      </c>
      <c r="C1063" s="1">
        <v>42157</v>
      </c>
      <c r="D1063" s="1">
        <v>42125</v>
      </c>
      <c r="E1063" t="s">
        <v>43</v>
      </c>
      <c r="F1063" t="s">
        <v>3141</v>
      </c>
      <c r="G1063" t="s">
        <v>3142</v>
      </c>
      <c r="H1063" t="s">
        <v>34</v>
      </c>
      <c r="I1063" t="s">
        <v>23</v>
      </c>
      <c r="J1063" t="s">
        <v>68</v>
      </c>
      <c r="K1063" t="s">
        <v>69</v>
      </c>
      <c r="L1063">
        <v>98115</v>
      </c>
      <c r="M1063" t="s">
        <v>37</v>
      </c>
      <c r="N1063" t="s">
        <v>1650</v>
      </c>
      <c r="O1063" t="s">
        <v>147</v>
      </c>
      <c r="P1063" t="s">
        <v>148</v>
      </c>
      <c r="Q1063" t="s">
        <v>1651</v>
      </c>
      <c r="R1063">
        <v>57408</v>
      </c>
    </row>
    <row r="1064" spans="1:18" x14ac:dyDescent="0.3">
      <c r="A1064" t="s">
        <v>4211</v>
      </c>
      <c r="B1064" s="1">
        <v>42944</v>
      </c>
      <c r="C1064" s="1">
        <v>42950</v>
      </c>
      <c r="D1064" s="1">
        <v>42917</v>
      </c>
      <c r="E1064" t="s">
        <v>43</v>
      </c>
      <c r="F1064" t="s">
        <v>3341</v>
      </c>
      <c r="G1064" t="s">
        <v>3342</v>
      </c>
      <c r="H1064" t="s">
        <v>76</v>
      </c>
      <c r="I1064" t="s">
        <v>23</v>
      </c>
      <c r="J1064" t="s">
        <v>4212</v>
      </c>
      <c r="K1064" t="s">
        <v>186</v>
      </c>
      <c r="L1064">
        <v>49423</v>
      </c>
      <c r="M1064" t="s">
        <v>79</v>
      </c>
      <c r="N1064" t="s">
        <v>4213</v>
      </c>
      <c r="O1064" t="s">
        <v>39</v>
      </c>
      <c r="P1064" t="s">
        <v>209</v>
      </c>
      <c r="Q1064" t="s">
        <v>1159</v>
      </c>
      <c r="R1064">
        <v>2044</v>
      </c>
    </row>
    <row r="1065" spans="1:18" x14ac:dyDescent="0.3">
      <c r="A1065" t="s">
        <v>4214</v>
      </c>
      <c r="B1065" s="1">
        <v>42096</v>
      </c>
      <c r="C1065" s="1">
        <v>42102</v>
      </c>
      <c r="D1065" s="1">
        <v>42095</v>
      </c>
      <c r="E1065" t="s">
        <v>43</v>
      </c>
      <c r="F1065" t="s">
        <v>1882</v>
      </c>
      <c r="G1065" t="s">
        <v>1883</v>
      </c>
      <c r="H1065" t="s">
        <v>22</v>
      </c>
      <c r="I1065" t="s">
        <v>23</v>
      </c>
      <c r="J1065" t="s">
        <v>4215</v>
      </c>
      <c r="K1065" t="s">
        <v>845</v>
      </c>
      <c r="L1065">
        <v>30605</v>
      </c>
      <c r="M1065" t="s">
        <v>26</v>
      </c>
      <c r="N1065" t="s">
        <v>3894</v>
      </c>
      <c r="O1065" t="s">
        <v>39</v>
      </c>
      <c r="P1065" t="s">
        <v>63</v>
      </c>
      <c r="Q1065" t="s">
        <v>3895</v>
      </c>
      <c r="R1065">
        <v>1584</v>
      </c>
    </row>
    <row r="1066" spans="1:18" x14ac:dyDescent="0.3">
      <c r="A1066" t="s">
        <v>4216</v>
      </c>
      <c r="B1066" s="1">
        <v>42213</v>
      </c>
      <c r="C1066" s="1">
        <v>42213</v>
      </c>
      <c r="D1066" s="1">
        <v>42186</v>
      </c>
      <c r="E1066" t="s">
        <v>857</v>
      </c>
      <c r="F1066" t="s">
        <v>2462</v>
      </c>
      <c r="G1066" t="s">
        <v>2463</v>
      </c>
      <c r="H1066" t="s">
        <v>22</v>
      </c>
      <c r="I1066" t="s">
        <v>23</v>
      </c>
      <c r="J1066" t="s">
        <v>2825</v>
      </c>
      <c r="K1066" t="s">
        <v>47</v>
      </c>
      <c r="L1066">
        <v>32712</v>
      </c>
      <c r="M1066" t="s">
        <v>26</v>
      </c>
      <c r="N1066" t="s">
        <v>378</v>
      </c>
      <c r="O1066" t="s">
        <v>39</v>
      </c>
      <c r="P1066" t="s">
        <v>209</v>
      </c>
      <c r="Q1066" t="s">
        <v>379</v>
      </c>
      <c r="R1066">
        <v>1432</v>
      </c>
    </row>
    <row r="1067" spans="1:18" x14ac:dyDescent="0.3">
      <c r="A1067" t="s">
        <v>4217</v>
      </c>
      <c r="B1067" s="1">
        <v>43188</v>
      </c>
      <c r="C1067" s="1">
        <v>43192</v>
      </c>
      <c r="D1067" s="1">
        <v>43160</v>
      </c>
      <c r="E1067" t="s">
        <v>19</v>
      </c>
      <c r="F1067" t="s">
        <v>3976</v>
      </c>
      <c r="G1067" t="s">
        <v>3977</v>
      </c>
      <c r="H1067" t="s">
        <v>22</v>
      </c>
      <c r="I1067" t="s">
        <v>23</v>
      </c>
      <c r="J1067" t="s">
        <v>2858</v>
      </c>
      <c r="K1067" t="s">
        <v>200</v>
      </c>
      <c r="L1067">
        <v>47905</v>
      </c>
      <c r="M1067" t="s">
        <v>79</v>
      </c>
      <c r="N1067" t="s">
        <v>4218</v>
      </c>
      <c r="O1067" t="s">
        <v>39</v>
      </c>
      <c r="P1067" t="s">
        <v>89</v>
      </c>
      <c r="Q1067" t="s">
        <v>4219</v>
      </c>
      <c r="R1067">
        <v>814</v>
      </c>
    </row>
    <row r="1068" spans="1:18" x14ac:dyDescent="0.3">
      <c r="A1068" t="s">
        <v>4220</v>
      </c>
      <c r="B1068" s="1">
        <v>42769</v>
      </c>
      <c r="C1068" s="1">
        <v>42776</v>
      </c>
      <c r="D1068" s="1">
        <v>42767</v>
      </c>
      <c r="E1068" t="s">
        <v>43</v>
      </c>
      <c r="F1068" t="s">
        <v>3623</v>
      </c>
      <c r="G1068" t="s">
        <v>3624</v>
      </c>
      <c r="H1068" t="s">
        <v>22</v>
      </c>
      <c r="I1068" t="s">
        <v>23</v>
      </c>
      <c r="J1068" t="s">
        <v>1269</v>
      </c>
      <c r="K1068" t="s">
        <v>25</v>
      </c>
      <c r="L1068">
        <v>40475</v>
      </c>
      <c r="M1068" t="s">
        <v>26</v>
      </c>
      <c r="N1068" t="s">
        <v>985</v>
      </c>
      <c r="O1068" t="s">
        <v>28</v>
      </c>
      <c r="P1068" t="s">
        <v>119</v>
      </c>
      <c r="Q1068" t="s">
        <v>986</v>
      </c>
      <c r="R1068">
        <v>8664</v>
      </c>
    </row>
    <row r="1069" spans="1:18" x14ac:dyDescent="0.3">
      <c r="A1069" t="s">
        <v>4221</v>
      </c>
      <c r="B1069" s="1">
        <v>42593</v>
      </c>
      <c r="C1069" s="1">
        <v>42598</v>
      </c>
      <c r="D1069" s="1">
        <v>42583</v>
      </c>
      <c r="E1069" t="s">
        <v>43</v>
      </c>
      <c r="F1069" t="s">
        <v>4222</v>
      </c>
      <c r="G1069" t="s">
        <v>4223</v>
      </c>
      <c r="H1069" t="s">
        <v>22</v>
      </c>
      <c r="I1069" t="s">
        <v>23</v>
      </c>
      <c r="J1069" t="s">
        <v>2741</v>
      </c>
      <c r="K1069" t="s">
        <v>61</v>
      </c>
      <c r="L1069">
        <v>27604</v>
      </c>
      <c r="M1069" t="s">
        <v>26</v>
      </c>
      <c r="N1069" t="s">
        <v>2427</v>
      </c>
      <c r="O1069" t="s">
        <v>28</v>
      </c>
      <c r="P1069" t="s">
        <v>55</v>
      </c>
      <c r="Q1069" t="s">
        <v>3328</v>
      </c>
      <c r="R1069">
        <v>46152</v>
      </c>
    </row>
    <row r="1070" spans="1:18" x14ac:dyDescent="0.3">
      <c r="A1070" t="s">
        <v>4224</v>
      </c>
      <c r="B1070" s="1">
        <v>42316</v>
      </c>
      <c r="C1070" s="1">
        <v>42322</v>
      </c>
      <c r="D1070" s="1">
        <v>42309</v>
      </c>
      <c r="E1070" t="s">
        <v>43</v>
      </c>
      <c r="F1070" t="s">
        <v>122</v>
      </c>
      <c r="G1070" t="s">
        <v>123</v>
      </c>
      <c r="H1070" t="s">
        <v>22</v>
      </c>
      <c r="I1070" t="s">
        <v>23</v>
      </c>
      <c r="J1070" t="s">
        <v>4225</v>
      </c>
      <c r="K1070" t="s">
        <v>36</v>
      </c>
      <c r="L1070">
        <v>96003</v>
      </c>
      <c r="M1070" t="s">
        <v>37</v>
      </c>
      <c r="N1070" t="s">
        <v>4226</v>
      </c>
      <c r="O1070" t="s">
        <v>147</v>
      </c>
      <c r="P1070" t="s">
        <v>148</v>
      </c>
      <c r="Q1070" t="s">
        <v>4227</v>
      </c>
      <c r="R1070">
        <v>333576</v>
      </c>
    </row>
    <row r="1071" spans="1:18" x14ac:dyDescent="0.3">
      <c r="A1071" t="s">
        <v>4228</v>
      </c>
      <c r="B1071" s="1">
        <v>42425</v>
      </c>
      <c r="C1071" s="1">
        <v>42430</v>
      </c>
      <c r="D1071" s="1">
        <v>42401</v>
      </c>
      <c r="E1071" t="s">
        <v>43</v>
      </c>
      <c r="F1071" t="s">
        <v>1494</v>
      </c>
      <c r="G1071" t="s">
        <v>1495</v>
      </c>
      <c r="H1071" t="s">
        <v>22</v>
      </c>
      <c r="I1071" t="s">
        <v>23</v>
      </c>
      <c r="J1071" t="s">
        <v>2912</v>
      </c>
      <c r="K1071" t="s">
        <v>829</v>
      </c>
      <c r="L1071">
        <v>1453</v>
      </c>
      <c r="M1071" t="s">
        <v>117</v>
      </c>
      <c r="N1071" t="s">
        <v>2493</v>
      </c>
      <c r="O1071" t="s">
        <v>39</v>
      </c>
      <c r="P1071" t="s">
        <v>40</v>
      </c>
      <c r="Q1071" t="s">
        <v>2494</v>
      </c>
      <c r="R1071">
        <v>315</v>
      </c>
    </row>
    <row r="1072" spans="1:18" x14ac:dyDescent="0.3">
      <c r="A1072" t="s">
        <v>4229</v>
      </c>
      <c r="B1072" s="1">
        <v>42978</v>
      </c>
      <c r="C1072" s="1">
        <v>42984</v>
      </c>
      <c r="D1072" s="1">
        <v>42948</v>
      </c>
      <c r="E1072" t="s">
        <v>43</v>
      </c>
      <c r="F1072" t="s">
        <v>3131</v>
      </c>
      <c r="G1072" t="s">
        <v>3132</v>
      </c>
      <c r="H1072" t="s">
        <v>22</v>
      </c>
      <c r="I1072" t="s">
        <v>23</v>
      </c>
      <c r="J1072" t="s">
        <v>4230</v>
      </c>
      <c r="K1072" t="s">
        <v>78</v>
      </c>
      <c r="L1072">
        <v>76706</v>
      </c>
      <c r="M1072" t="s">
        <v>79</v>
      </c>
      <c r="N1072" t="s">
        <v>947</v>
      </c>
      <c r="O1072" t="s">
        <v>39</v>
      </c>
      <c r="P1072" t="s">
        <v>89</v>
      </c>
      <c r="Q1072" t="s">
        <v>948</v>
      </c>
      <c r="R1072">
        <v>23968</v>
      </c>
    </row>
    <row r="1073" spans="1:18" x14ac:dyDescent="0.3">
      <c r="A1073" t="s">
        <v>4231</v>
      </c>
      <c r="B1073" s="1">
        <v>42236</v>
      </c>
      <c r="C1073" s="1">
        <v>42241</v>
      </c>
      <c r="D1073" s="1">
        <v>42217</v>
      </c>
      <c r="E1073" t="s">
        <v>19</v>
      </c>
      <c r="F1073" t="s">
        <v>1364</v>
      </c>
      <c r="G1073" t="s">
        <v>1365</v>
      </c>
      <c r="H1073" t="s">
        <v>22</v>
      </c>
      <c r="I1073" t="s">
        <v>23</v>
      </c>
      <c r="J1073" t="s">
        <v>225</v>
      </c>
      <c r="K1073" t="s">
        <v>160</v>
      </c>
      <c r="L1073">
        <v>60610</v>
      </c>
      <c r="M1073" t="s">
        <v>79</v>
      </c>
      <c r="N1073" t="s">
        <v>4232</v>
      </c>
      <c r="O1073" t="s">
        <v>28</v>
      </c>
      <c r="P1073" t="s">
        <v>119</v>
      </c>
      <c r="Q1073" t="s">
        <v>4233</v>
      </c>
      <c r="R1073">
        <v>421372</v>
      </c>
    </row>
    <row r="1074" spans="1:18" x14ac:dyDescent="0.3">
      <c r="A1074" t="s">
        <v>4234</v>
      </c>
      <c r="B1074" s="1">
        <v>42772</v>
      </c>
      <c r="C1074" s="1">
        <v>42777</v>
      </c>
      <c r="D1074" s="1">
        <v>42767</v>
      </c>
      <c r="E1074" t="s">
        <v>43</v>
      </c>
      <c r="F1074" t="s">
        <v>1167</v>
      </c>
      <c r="G1074" t="s">
        <v>1168</v>
      </c>
      <c r="H1074" t="s">
        <v>34</v>
      </c>
      <c r="I1074" t="s">
        <v>23</v>
      </c>
      <c r="J1074" t="s">
        <v>4235</v>
      </c>
      <c r="K1074" t="s">
        <v>255</v>
      </c>
      <c r="L1074">
        <v>37421</v>
      </c>
      <c r="M1074" t="s">
        <v>26</v>
      </c>
      <c r="N1074" t="s">
        <v>4236</v>
      </c>
      <c r="O1074" t="s">
        <v>28</v>
      </c>
      <c r="P1074" t="s">
        <v>55</v>
      </c>
      <c r="Q1074" t="s">
        <v>4237</v>
      </c>
      <c r="R1074">
        <v>132224</v>
      </c>
    </row>
    <row r="1075" spans="1:18" x14ac:dyDescent="0.3">
      <c r="A1075" t="s">
        <v>4238</v>
      </c>
      <c r="B1075" s="1">
        <v>42126</v>
      </c>
      <c r="C1075" s="1">
        <v>42126</v>
      </c>
      <c r="D1075" s="1">
        <v>42125</v>
      </c>
      <c r="E1075" t="s">
        <v>857</v>
      </c>
      <c r="F1075" t="s">
        <v>1295</v>
      </c>
      <c r="G1075" t="s">
        <v>1296</v>
      </c>
      <c r="H1075" t="s">
        <v>22</v>
      </c>
      <c r="I1075" t="s">
        <v>23</v>
      </c>
      <c r="J1075" t="s">
        <v>376</v>
      </c>
      <c r="K1075" t="s">
        <v>377</v>
      </c>
      <c r="L1075">
        <v>43229</v>
      </c>
      <c r="M1075" t="s">
        <v>117</v>
      </c>
      <c r="N1075" t="s">
        <v>4239</v>
      </c>
      <c r="O1075" t="s">
        <v>39</v>
      </c>
      <c r="P1075" t="s">
        <v>81</v>
      </c>
      <c r="Q1075" t="s">
        <v>4240</v>
      </c>
      <c r="R1075">
        <v>26136</v>
      </c>
    </row>
    <row r="1076" spans="1:18" x14ac:dyDescent="0.3">
      <c r="A1076" t="s">
        <v>4241</v>
      </c>
      <c r="B1076" s="1">
        <v>42569</v>
      </c>
      <c r="C1076" s="1">
        <v>42573</v>
      </c>
      <c r="D1076" s="1">
        <v>42552</v>
      </c>
      <c r="E1076" t="s">
        <v>43</v>
      </c>
      <c r="F1076" t="s">
        <v>1502</v>
      </c>
      <c r="G1076" t="s">
        <v>1503</v>
      </c>
      <c r="H1076" t="s">
        <v>22</v>
      </c>
      <c r="I1076" t="s">
        <v>23</v>
      </c>
      <c r="J1076" t="s">
        <v>663</v>
      </c>
      <c r="K1076" t="s">
        <v>36</v>
      </c>
      <c r="L1076">
        <v>92105</v>
      </c>
      <c r="M1076" t="s">
        <v>37</v>
      </c>
      <c r="N1076" t="s">
        <v>4242</v>
      </c>
      <c r="O1076" t="s">
        <v>147</v>
      </c>
      <c r="P1076" t="s">
        <v>180</v>
      </c>
      <c r="Q1076" t="s">
        <v>4243</v>
      </c>
      <c r="R1076">
        <v>51996</v>
      </c>
    </row>
    <row r="1077" spans="1:18" x14ac:dyDescent="0.3">
      <c r="A1077" t="s">
        <v>4244</v>
      </c>
      <c r="B1077" s="1">
        <v>42456</v>
      </c>
      <c r="C1077" s="1">
        <v>42463</v>
      </c>
      <c r="D1077" s="1">
        <v>42430</v>
      </c>
      <c r="E1077" t="s">
        <v>43</v>
      </c>
      <c r="F1077" t="s">
        <v>3073</v>
      </c>
      <c r="G1077" t="s">
        <v>3074</v>
      </c>
      <c r="H1077" t="s">
        <v>22</v>
      </c>
      <c r="I1077" t="s">
        <v>23</v>
      </c>
      <c r="J1077" t="s">
        <v>68</v>
      </c>
      <c r="K1077" t="s">
        <v>69</v>
      </c>
      <c r="L1077">
        <v>98115</v>
      </c>
      <c r="M1077" t="s">
        <v>37</v>
      </c>
      <c r="N1077" t="s">
        <v>4245</v>
      </c>
      <c r="O1077" t="s">
        <v>39</v>
      </c>
      <c r="P1077" t="s">
        <v>89</v>
      </c>
      <c r="Q1077" t="s">
        <v>4246</v>
      </c>
      <c r="R1077">
        <v>837</v>
      </c>
    </row>
    <row r="1078" spans="1:18" x14ac:dyDescent="0.3">
      <c r="A1078" t="s">
        <v>4247</v>
      </c>
      <c r="B1078" s="1">
        <v>42257</v>
      </c>
      <c r="C1078" s="1">
        <v>42261</v>
      </c>
      <c r="D1078" s="1">
        <v>42248</v>
      </c>
      <c r="E1078" t="s">
        <v>43</v>
      </c>
      <c r="F1078" t="s">
        <v>2650</v>
      </c>
      <c r="G1078" t="s">
        <v>2651</v>
      </c>
      <c r="H1078" t="s">
        <v>76</v>
      </c>
      <c r="I1078" t="s">
        <v>23</v>
      </c>
      <c r="J1078" t="s">
        <v>1878</v>
      </c>
      <c r="K1078" t="s">
        <v>239</v>
      </c>
      <c r="L1078">
        <v>23464</v>
      </c>
      <c r="M1078" t="s">
        <v>26</v>
      </c>
      <c r="N1078" t="s">
        <v>809</v>
      </c>
      <c r="O1078" t="s">
        <v>39</v>
      </c>
      <c r="P1078" t="s">
        <v>71</v>
      </c>
      <c r="Q1078" t="s">
        <v>810</v>
      </c>
      <c r="R1078">
        <v>964</v>
      </c>
    </row>
    <row r="1079" spans="1:18" x14ac:dyDescent="0.3">
      <c r="A1079" t="s">
        <v>4248</v>
      </c>
      <c r="B1079" s="1">
        <v>42587</v>
      </c>
      <c r="C1079" s="1">
        <v>42593</v>
      </c>
      <c r="D1079" s="1">
        <v>42583</v>
      </c>
      <c r="E1079" t="s">
        <v>43</v>
      </c>
      <c r="F1079" t="s">
        <v>3652</v>
      </c>
      <c r="G1079" t="s">
        <v>3653</v>
      </c>
      <c r="H1079" t="s">
        <v>34</v>
      </c>
      <c r="I1079" t="s">
        <v>23</v>
      </c>
      <c r="J1079" t="s">
        <v>590</v>
      </c>
      <c r="K1079" t="s">
        <v>78</v>
      </c>
      <c r="L1079">
        <v>75220</v>
      </c>
      <c r="M1079" t="s">
        <v>79</v>
      </c>
      <c r="N1079" t="s">
        <v>4249</v>
      </c>
      <c r="O1079" t="s">
        <v>39</v>
      </c>
      <c r="P1079" t="s">
        <v>89</v>
      </c>
      <c r="Q1079" t="s">
        <v>4250</v>
      </c>
      <c r="R1079">
        <v>33488</v>
      </c>
    </row>
    <row r="1080" spans="1:18" x14ac:dyDescent="0.3">
      <c r="A1080" t="s">
        <v>4251</v>
      </c>
      <c r="B1080" s="1">
        <v>42489</v>
      </c>
      <c r="C1080" s="1">
        <v>42494</v>
      </c>
      <c r="D1080" s="1">
        <v>42461</v>
      </c>
      <c r="E1080" t="s">
        <v>19</v>
      </c>
      <c r="F1080" t="s">
        <v>524</v>
      </c>
      <c r="G1080" t="s">
        <v>525</v>
      </c>
      <c r="H1080" t="s">
        <v>76</v>
      </c>
      <c r="I1080" t="s">
        <v>23</v>
      </c>
      <c r="J1080" t="s">
        <v>115</v>
      </c>
      <c r="K1080" t="s">
        <v>116</v>
      </c>
      <c r="L1080">
        <v>19120</v>
      </c>
      <c r="M1080" t="s">
        <v>117</v>
      </c>
      <c r="N1080" t="s">
        <v>4252</v>
      </c>
      <c r="O1080" t="s">
        <v>39</v>
      </c>
      <c r="P1080" t="s">
        <v>63</v>
      </c>
      <c r="Q1080" t="s">
        <v>4253</v>
      </c>
      <c r="R1080">
        <v>7968</v>
      </c>
    </row>
    <row r="1081" spans="1:18" x14ac:dyDescent="0.3">
      <c r="A1081" t="s">
        <v>4254</v>
      </c>
      <c r="B1081" s="1">
        <v>42293</v>
      </c>
      <c r="C1081" s="1">
        <v>42294</v>
      </c>
      <c r="D1081" s="1">
        <v>42278</v>
      </c>
      <c r="E1081" t="s">
        <v>857</v>
      </c>
      <c r="F1081" t="s">
        <v>1128</v>
      </c>
      <c r="G1081" t="s">
        <v>1129</v>
      </c>
      <c r="H1081" t="s">
        <v>22</v>
      </c>
      <c r="I1081" t="s">
        <v>23</v>
      </c>
      <c r="J1081" t="s">
        <v>101</v>
      </c>
      <c r="K1081" t="s">
        <v>36</v>
      </c>
      <c r="L1081">
        <v>94110</v>
      </c>
      <c r="M1081" t="s">
        <v>37</v>
      </c>
      <c r="N1081" t="s">
        <v>4255</v>
      </c>
      <c r="O1081" t="s">
        <v>39</v>
      </c>
      <c r="P1081" t="s">
        <v>71</v>
      </c>
      <c r="Q1081" t="s">
        <v>4256</v>
      </c>
      <c r="R1081">
        <v>14352</v>
      </c>
    </row>
    <row r="1082" spans="1:18" x14ac:dyDescent="0.3">
      <c r="A1082" t="s">
        <v>4257</v>
      </c>
      <c r="B1082" s="1">
        <v>42935</v>
      </c>
      <c r="C1082" s="1">
        <v>42941</v>
      </c>
      <c r="D1082" s="1">
        <v>42917</v>
      </c>
      <c r="E1082" t="s">
        <v>43</v>
      </c>
      <c r="F1082" t="s">
        <v>4258</v>
      </c>
      <c r="G1082" t="s">
        <v>4259</v>
      </c>
      <c r="H1082" t="s">
        <v>22</v>
      </c>
      <c r="I1082" t="s">
        <v>23</v>
      </c>
      <c r="J1082" t="s">
        <v>4260</v>
      </c>
      <c r="K1082" t="s">
        <v>984</v>
      </c>
      <c r="L1082">
        <v>39401</v>
      </c>
      <c r="M1082" t="s">
        <v>26</v>
      </c>
      <c r="N1082" t="s">
        <v>4261</v>
      </c>
      <c r="O1082" t="s">
        <v>28</v>
      </c>
      <c r="P1082" t="s">
        <v>55</v>
      </c>
      <c r="Q1082" t="s">
        <v>4262</v>
      </c>
      <c r="R1082">
        <v>18558</v>
      </c>
    </row>
    <row r="1083" spans="1:18" x14ac:dyDescent="0.3">
      <c r="A1083" t="s">
        <v>4263</v>
      </c>
      <c r="B1083" s="1">
        <v>42734</v>
      </c>
      <c r="C1083" s="1">
        <v>42738</v>
      </c>
      <c r="D1083" s="1">
        <v>42705</v>
      </c>
      <c r="E1083" t="s">
        <v>43</v>
      </c>
      <c r="F1083" t="s">
        <v>367</v>
      </c>
      <c r="G1083" t="s">
        <v>368</v>
      </c>
      <c r="H1083" t="s">
        <v>22</v>
      </c>
      <c r="I1083" t="s">
        <v>23</v>
      </c>
      <c r="J1083" t="s">
        <v>35</v>
      </c>
      <c r="K1083" t="s">
        <v>36</v>
      </c>
      <c r="L1083">
        <v>90049</v>
      </c>
      <c r="M1083" t="s">
        <v>37</v>
      </c>
      <c r="N1083" t="s">
        <v>4264</v>
      </c>
      <c r="O1083" t="s">
        <v>39</v>
      </c>
      <c r="P1083" t="s">
        <v>63</v>
      </c>
      <c r="Q1083" t="s">
        <v>4265</v>
      </c>
      <c r="R1083">
        <v>6852</v>
      </c>
    </row>
    <row r="1084" spans="1:18" x14ac:dyDescent="0.3">
      <c r="A1084" t="s">
        <v>4266</v>
      </c>
      <c r="B1084" s="1">
        <v>42282</v>
      </c>
      <c r="C1084" s="1">
        <v>42287</v>
      </c>
      <c r="D1084" s="1">
        <v>42278</v>
      </c>
      <c r="E1084" t="s">
        <v>19</v>
      </c>
      <c r="F1084" t="s">
        <v>4267</v>
      </c>
      <c r="G1084" t="s">
        <v>4268</v>
      </c>
      <c r="H1084" t="s">
        <v>22</v>
      </c>
      <c r="I1084" t="s">
        <v>23</v>
      </c>
      <c r="J1084" t="s">
        <v>376</v>
      </c>
      <c r="K1084" t="s">
        <v>377</v>
      </c>
      <c r="L1084">
        <v>43229</v>
      </c>
      <c r="M1084" t="s">
        <v>117</v>
      </c>
      <c r="N1084" t="s">
        <v>3605</v>
      </c>
      <c r="O1084" t="s">
        <v>39</v>
      </c>
      <c r="P1084" t="s">
        <v>81</v>
      </c>
      <c r="Q1084" t="s">
        <v>3606</v>
      </c>
      <c r="R1084">
        <v>9192</v>
      </c>
    </row>
    <row r="1085" spans="1:18" x14ac:dyDescent="0.3">
      <c r="A1085" t="s">
        <v>4269</v>
      </c>
      <c r="B1085" s="1">
        <v>42479</v>
      </c>
      <c r="C1085" s="1">
        <v>42485</v>
      </c>
      <c r="D1085" s="1">
        <v>42461</v>
      </c>
      <c r="E1085" t="s">
        <v>43</v>
      </c>
      <c r="F1085" t="s">
        <v>1632</v>
      </c>
      <c r="G1085" t="s">
        <v>1633</v>
      </c>
      <c r="H1085" t="s">
        <v>22</v>
      </c>
      <c r="I1085" t="s">
        <v>23</v>
      </c>
      <c r="J1085" t="s">
        <v>4270</v>
      </c>
      <c r="K1085" t="s">
        <v>78</v>
      </c>
      <c r="L1085">
        <v>75007</v>
      </c>
      <c r="M1085" t="s">
        <v>79</v>
      </c>
      <c r="N1085" t="s">
        <v>3198</v>
      </c>
      <c r="O1085" t="s">
        <v>39</v>
      </c>
      <c r="P1085" t="s">
        <v>81</v>
      </c>
      <c r="Q1085" t="s">
        <v>3199</v>
      </c>
      <c r="R1085">
        <v>19568</v>
      </c>
    </row>
    <row r="1086" spans="1:18" x14ac:dyDescent="0.3">
      <c r="A1086" t="s">
        <v>4271</v>
      </c>
      <c r="B1086" s="1">
        <v>42770</v>
      </c>
      <c r="C1086" s="1">
        <v>42774</v>
      </c>
      <c r="D1086" s="1">
        <v>42767</v>
      </c>
      <c r="E1086" t="s">
        <v>43</v>
      </c>
      <c r="F1086" t="s">
        <v>131</v>
      </c>
      <c r="G1086" t="s">
        <v>132</v>
      </c>
      <c r="H1086" t="s">
        <v>22</v>
      </c>
      <c r="I1086" t="s">
        <v>23</v>
      </c>
      <c r="J1086" t="s">
        <v>4272</v>
      </c>
      <c r="K1086" t="s">
        <v>232</v>
      </c>
      <c r="L1086">
        <v>85635</v>
      </c>
      <c r="M1086" t="s">
        <v>37</v>
      </c>
      <c r="N1086" t="s">
        <v>4273</v>
      </c>
      <c r="O1086" t="s">
        <v>28</v>
      </c>
      <c r="P1086" t="s">
        <v>55</v>
      </c>
      <c r="Q1086" t="s">
        <v>4274</v>
      </c>
      <c r="R1086">
        <v>14368</v>
      </c>
    </row>
    <row r="1087" spans="1:18" x14ac:dyDescent="0.3">
      <c r="A1087" t="s">
        <v>4275</v>
      </c>
      <c r="B1087" s="1">
        <v>42901</v>
      </c>
      <c r="C1087" s="1">
        <v>42904</v>
      </c>
      <c r="D1087" s="1">
        <v>42887</v>
      </c>
      <c r="E1087" t="s">
        <v>142</v>
      </c>
      <c r="F1087" t="s">
        <v>1128</v>
      </c>
      <c r="G1087" t="s">
        <v>1129</v>
      </c>
      <c r="H1087" t="s">
        <v>22</v>
      </c>
      <c r="I1087" t="s">
        <v>23</v>
      </c>
      <c r="J1087" t="s">
        <v>138</v>
      </c>
      <c r="K1087" t="s">
        <v>78</v>
      </c>
      <c r="L1087">
        <v>77036</v>
      </c>
      <c r="M1087" t="s">
        <v>79</v>
      </c>
      <c r="N1087" t="s">
        <v>4276</v>
      </c>
      <c r="O1087" t="s">
        <v>39</v>
      </c>
      <c r="P1087" t="s">
        <v>63</v>
      </c>
      <c r="Q1087" t="s">
        <v>4277</v>
      </c>
      <c r="R1087">
        <v>173488</v>
      </c>
    </row>
    <row r="1088" spans="1:18" x14ac:dyDescent="0.3">
      <c r="A1088" t="s">
        <v>4278</v>
      </c>
      <c r="B1088" s="1">
        <v>42065</v>
      </c>
      <c r="C1088" s="1">
        <v>42071</v>
      </c>
      <c r="D1088" s="1">
        <v>42064</v>
      </c>
      <c r="E1088" t="s">
        <v>43</v>
      </c>
      <c r="F1088" t="s">
        <v>3202</v>
      </c>
      <c r="G1088" t="s">
        <v>3203</v>
      </c>
      <c r="H1088" t="s">
        <v>76</v>
      </c>
      <c r="I1088" t="s">
        <v>23</v>
      </c>
      <c r="J1088" t="s">
        <v>206</v>
      </c>
      <c r="K1088" t="s">
        <v>207</v>
      </c>
      <c r="L1088">
        <v>10009</v>
      </c>
      <c r="M1088" t="s">
        <v>117</v>
      </c>
      <c r="N1088" t="s">
        <v>492</v>
      </c>
      <c r="O1088" t="s">
        <v>39</v>
      </c>
      <c r="P1088" t="s">
        <v>154</v>
      </c>
      <c r="Q1088" t="s">
        <v>493</v>
      </c>
      <c r="R1088">
        <v>1136</v>
      </c>
    </row>
    <row r="1089" spans="1:18" x14ac:dyDescent="0.3">
      <c r="A1089" t="s">
        <v>4279</v>
      </c>
      <c r="B1089" s="1">
        <v>42053</v>
      </c>
      <c r="C1089" s="1">
        <v>42053</v>
      </c>
      <c r="D1089" s="1">
        <v>42036</v>
      </c>
      <c r="E1089" t="s">
        <v>857</v>
      </c>
      <c r="F1089" t="s">
        <v>1019</v>
      </c>
      <c r="G1089" t="s">
        <v>1020</v>
      </c>
      <c r="H1089" t="s">
        <v>22</v>
      </c>
      <c r="I1089" t="s">
        <v>23</v>
      </c>
      <c r="J1089" t="s">
        <v>4280</v>
      </c>
      <c r="K1089" t="s">
        <v>78</v>
      </c>
      <c r="L1089">
        <v>79424</v>
      </c>
      <c r="M1089" t="s">
        <v>79</v>
      </c>
      <c r="N1089" t="s">
        <v>4281</v>
      </c>
      <c r="O1089" t="s">
        <v>28</v>
      </c>
      <c r="P1089" t="s">
        <v>55</v>
      </c>
      <c r="Q1089" t="s">
        <v>4282</v>
      </c>
      <c r="R1089">
        <v>2516</v>
      </c>
    </row>
    <row r="1090" spans="1:18" x14ac:dyDescent="0.3">
      <c r="A1090" t="s">
        <v>4283</v>
      </c>
      <c r="B1090" s="1">
        <v>43363</v>
      </c>
      <c r="C1090" s="1">
        <v>43369</v>
      </c>
      <c r="D1090" s="1">
        <v>43344</v>
      </c>
      <c r="E1090" t="s">
        <v>43</v>
      </c>
      <c r="F1090" t="s">
        <v>1447</v>
      </c>
      <c r="G1090" t="s">
        <v>1448</v>
      </c>
      <c r="H1090" t="s">
        <v>22</v>
      </c>
      <c r="I1090" t="s">
        <v>23</v>
      </c>
      <c r="J1090" t="s">
        <v>206</v>
      </c>
      <c r="K1090" t="s">
        <v>207</v>
      </c>
      <c r="L1090">
        <v>10035</v>
      </c>
      <c r="M1090" t="s">
        <v>117</v>
      </c>
      <c r="N1090" t="s">
        <v>4284</v>
      </c>
      <c r="O1090" t="s">
        <v>28</v>
      </c>
      <c r="P1090" t="s">
        <v>119</v>
      </c>
      <c r="Q1090" t="s">
        <v>4285</v>
      </c>
      <c r="R1090">
        <v>272646</v>
      </c>
    </row>
    <row r="1091" spans="1:18" x14ac:dyDescent="0.3">
      <c r="A1091" t="s">
        <v>4286</v>
      </c>
      <c r="B1091" s="1">
        <v>42302</v>
      </c>
      <c r="C1091" s="1">
        <v>42305</v>
      </c>
      <c r="D1091" s="1">
        <v>42278</v>
      </c>
      <c r="E1091" t="s">
        <v>142</v>
      </c>
      <c r="F1091" t="s">
        <v>4287</v>
      </c>
      <c r="G1091" t="s">
        <v>4288</v>
      </c>
      <c r="H1091" t="s">
        <v>34</v>
      </c>
      <c r="I1091" t="s">
        <v>23</v>
      </c>
      <c r="J1091" t="s">
        <v>101</v>
      </c>
      <c r="K1091" t="s">
        <v>36</v>
      </c>
      <c r="L1091">
        <v>94109</v>
      </c>
      <c r="M1091" t="s">
        <v>37</v>
      </c>
      <c r="N1091" t="s">
        <v>3008</v>
      </c>
      <c r="O1091" t="s">
        <v>39</v>
      </c>
      <c r="P1091" t="s">
        <v>71</v>
      </c>
      <c r="Q1091" t="s">
        <v>3009</v>
      </c>
      <c r="R1091">
        <v>49408</v>
      </c>
    </row>
    <row r="1092" spans="1:18" x14ac:dyDescent="0.3">
      <c r="A1092" t="s">
        <v>4289</v>
      </c>
      <c r="B1092" s="1">
        <v>42661</v>
      </c>
      <c r="C1092" s="1">
        <v>42665</v>
      </c>
      <c r="D1092" s="1">
        <v>42644</v>
      </c>
      <c r="E1092" t="s">
        <v>43</v>
      </c>
      <c r="F1092" t="s">
        <v>3202</v>
      </c>
      <c r="G1092" t="s">
        <v>3203</v>
      </c>
      <c r="H1092" t="s">
        <v>76</v>
      </c>
      <c r="I1092" t="s">
        <v>23</v>
      </c>
      <c r="J1092" t="s">
        <v>4290</v>
      </c>
      <c r="K1092" t="s">
        <v>78</v>
      </c>
      <c r="L1092">
        <v>78501</v>
      </c>
      <c r="M1092" t="s">
        <v>79</v>
      </c>
      <c r="N1092" t="s">
        <v>4291</v>
      </c>
      <c r="O1092" t="s">
        <v>147</v>
      </c>
      <c r="P1092" t="s">
        <v>180</v>
      </c>
      <c r="Q1092" t="s">
        <v>4292</v>
      </c>
      <c r="R1092">
        <v>27696</v>
      </c>
    </row>
    <row r="1093" spans="1:18" x14ac:dyDescent="0.3">
      <c r="A1093" t="s">
        <v>4293</v>
      </c>
      <c r="B1093" s="1">
        <v>42360</v>
      </c>
      <c r="C1093" s="1">
        <v>42364</v>
      </c>
      <c r="D1093" s="1">
        <v>42339</v>
      </c>
      <c r="E1093" t="s">
        <v>43</v>
      </c>
      <c r="F1093" t="s">
        <v>4294</v>
      </c>
      <c r="G1093" t="s">
        <v>4295</v>
      </c>
      <c r="H1093" t="s">
        <v>22</v>
      </c>
      <c r="I1093" t="s">
        <v>23</v>
      </c>
      <c r="J1093" t="s">
        <v>459</v>
      </c>
      <c r="K1093" t="s">
        <v>36</v>
      </c>
      <c r="L1093">
        <v>95123</v>
      </c>
      <c r="M1093" t="s">
        <v>37</v>
      </c>
      <c r="N1093" t="s">
        <v>4296</v>
      </c>
      <c r="O1093" t="s">
        <v>39</v>
      </c>
      <c r="P1093" t="s">
        <v>103</v>
      </c>
      <c r="Q1093" t="s">
        <v>4297</v>
      </c>
      <c r="R1093">
        <v>1176</v>
      </c>
    </row>
    <row r="1094" spans="1:18" x14ac:dyDescent="0.3">
      <c r="A1094" t="s">
        <v>4298</v>
      </c>
      <c r="B1094" s="1">
        <v>42950</v>
      </c>
      <c r="C1094" s="1">
        <v>42952</v>
      </c>
      <c r="D1094" s="1">
        <v>42948</v>
      </c>
      <c r="E1094" t="s">
        <v>19</v>
      </c>
      <c r="F1094" t="s">
        <v>4299</v>
      </c>
      <c r="G1094" t="s">
        <v>4300</v>
      </c>
      <c r="H1094" t="s">
        <v>22</v>
      </c>
      <c r="I1094" t="s">
        <v>23</v>
      </c>
      <c r="J1094" t="s">
        <v>2722</v>
      </c>
      <c r="K1094" t="s">
        <v>474</v>
      </c>
      <c r="L1094">
        <v>74133</v>
      </c>
      <c r="M1094" t="s">
        <v>79</v>
      </c>
      <c r="N1094" t="s">
        <v>2093</v>
      </c>
      <c r="O1094" t="s">
        <v>39</v>
      </c>
      <c r="P1094" t="s">
        <v>154</v>
      </c>
      <c r="Q1094" t="s">
        <v>2094</v>
      </c>
      <c r="R1094">
        <v>8154</v>
      </c>
    </row>
    <row r="1095" spans="1:18" x14ac:dyDescent="0.3">
      <c r="A1095" t="s">
        <v>4301</v>
      </c>
      <c r="B1095" s="1">
        <v>42082</v>
      </c>
      <c r="C1095" s="1">
        <v>42084</v>
      </c>
      <c r="D1095" s="1">
        <v>42064</v>
      </c>
      <c r="E1095" t="s">
        <v>142</v>
      </c>
      <c r="F1095" t="s">
        <v>1149</v>
      </c>
      <c r="G1095" t="s">
        <v>1150</v>
      </c>
      <c r="H1095" t="s">
        <v>34</v>
      </c>
      <c r="I1095" t="s">
        <v>23</v>
      </c>
      <c r="J1095" t="s">
        <v>1163</v>
      </c>
      <c r="K1095" t="s">
        <v>47</v>
      </c>
      <c r="L1095">
        <v>33801</v>
      </c>
      <c r="M1095" t="s">
        <v>26</v>
      </c>
      <c r="N1095" t="s">
        <v>4302</v>
      </c>
      <c r="O1095" t="s">
        <v>147</v>
      </c>
      <c r="P1095" t="s">
        <v>148</v>
      </c>
      <c r="Q1095" t="s">
        <v>4303</v>
      </c>
      <c r="R1095">
        <v>323976</v>
      </c>
    </row>
    <row r="1096" spans="1:18" x14ac:dyDescent="0.3">
      <c r="A1096" t="s">
        <v>4304</v>
      </c>
      <c r="B1096" s="1">
        <v>42218</v>
      </c>
      <c r="C1096" s="1">
        <v>42224</v>
      </c>
      <c r="D1096" s="1">
        <v>42217</v>
      </c>
      <c r="E1096" t="s">
        <v>43</v>
      </c>
      <c r="F1096" t="s">
        <v>1554</v>
      </c>
      <c r="G1096" t="s">
        <v>1555</v>
      </c>
      <c r="H1096" t="s">
        <v>76</v>
      </c>
      <c r="I1096" t="s">
        <v>23</v>
      </c>
      <c r="J1096" t="s">
        <v>238</v>
      </c>
      <c r="K1096" t="s">
        <v>437</v>
      </c>
      <c r="L1096">
        <v>65807</v>
      </c>
      <c r="M1096" t="s">
        <v>79</v>
      </c>
      <c r="N1096" t="s">
        <v>4305</v>
      </c>
      <c r="O1096" t="s">
        <v>39</v>
      </c>
      <c r="P1096" t="s">
        <v>71</v>
      </c>
      <c r="Q1096" t="s">
        <v>4306</v>
      </c>
      <c r="R1096">
        <v>267</v>
      </c>
    </row>
    <row r="1097" spans="1:18" x14ac:dyDescent="0.3">
      <c r="A1097" t="s">
        <v>4307</v>
      </c>
      <c r="B1097" s="1">
        <v>43194</v>
      </c>
      <c r="C1097" s="1">
        <v>43198</v>
      </c>
      <c r="D1097" s="1">
        <v>43191</v>
      </c>
      <c r="E1097" t="s">
        <v>43</v>
      </c>
      <c r="F1097" t="s">
        <v>4308</v>
      </c>
      <c r="G1097" t="s">
        <v>4309</v>
      </c>
      <c r="H1097" t="s">
        <v>22</v>
      </c>
      <c r="I1097" t="s">
        <v>23</v>
      </c>
      <c r="J1097" t="s">
        <v>4310</v>
      </c>
      <c r="K1097" t="s">
        <v>160</v>
      </c>
      <c r="L1097">
        <v>60016</v>
      </c>
      <c r="M1097" t="s">
        <v>79</v>
      </c>
      <c r="N1097" t="s">
        <v>2846</v>
      </c>
      <c r="O1097" t="s">
        <v>147</v>
      </c>
      <c r="P1097" t="s">
        <v>148</v>
      </c>
      <c r="Q1097" t="s">
        <v>2847</v>
      </c>
      <c r="R1097">
        <v>38384</v>
      </c>
    </row>
    <row r="1098" spans="1:18" x14ac:dyDescent="0.3">
      <c r="A1098" t="s">
        <v>4311</v>
      </c>
      <c r="B1098" s="1">
        <v>43447</v>
      </c>
      <c r="C1098" s="1">
        <v>43447</v>
      </c>
      <c r="D1098" s="1">
        <v>43435</v>
      </c>
      <c r="E1098" t="s">
        <v>857</v>
      </c>
      <c r="F1098" t="s">
        <v>4312</v>
      </c>
      <c r="G1098" t="s">
        <v>4313</v>
      </c>
      <c r="H1098" t="s">
        <v>22</v>
      </c>
      <c r="I1098" t="s">
        <v>23</v>
      </c>
      <c r="J1098" t="s">
        <v>68</v>
      </c>
      <c r="K1098" t="s">
        <v>69</v>
      </c>
      <c r="L1098">
        <v>98103</v>
      </c>
      <c r="M1098" t="s">
        <v>37</v>
      </c>
      <c r="N1098" t="s">
        <v>1187</v>
      </c>
      <c r="O1098" t="s">
        <v>39</v>
      </c>
      <c r="P1098" t="s">
        <v>89</v>
      </c>
      <c r="Q1098" t="s">
        <v>1188</v>
      </c>
      <c r="R1098">
        <v>3144</v>
      </c>
    </row>
    <row r="1099" spans="1:18" x14ac:dyDescent="0.3">
      <c r="A1099" t="s">
        <v>4314</v>
      </c>
      <c r="B1099" s="1">
        <v>42578</v>
      </c>
      <c r="C1099" s="1">
        <v>42584</v>
      </c>
      <c r="D1099" s="1">
        <v>42552</v>
      </c>
      <c r="E1099" t="s">
        <v>43</v>
      </c>
      <c r="F1099" t="s">
        <v>1632</v>
      </c>
      <c r="G1099" t="s">
        <v>1633</v>
      </c>
      <c r="H1099" t="s">
        <v>22</v>
      </c>
      <c r="I1099" t="s">
        <v>23</v>
      </c>
      <c r="J1099" t="s">
        <v>978</v>
      </c>
      <c r="K1099" t="s">
        <v>25</v>
      </c>
      <c r="L1099">
        <v>40214</v>
      </c>
      <c r="M1099" t="s">
        <v>26</v>
      </c>
      <c r="N1099" t="s">
        <v>2723</v>
      </c>
      <c r="O1099" t="s">
        <v>147</v>
      </c>
      <c r="P1099" t="s">
        <v>148</v>
      </c>
      <c r="Q1099" t="s">
        <v>2724</v>
      </c>
      <c r="R1099">
        <v>2997</v>
      </c>
    </row>
    <row r="1100" spans="1:18" x14ac:dyDescent="0.3">
      <c r="A1100" t="s">
        <v>4315</v>
      </c>
      <c r="B1100" s="1">
        <v>42789</v>
      </c>
      <c r="C1100" s="1">
        <v>42793</v>
      </c>
      <c r="D1100" s="1">
        <v>42767</v>
      </c>
      <c r="E1100" t="s">
        <v>43</v>
      </c>
      <c r="F1100" t="s">
        <v>807</v>
      </c>
      <c r="G1100" t="s">
        <v>808</v>
      </c>
      <c r="H1100" t="s">
        <v>34</v>
      </c>
      <c r="I1100" t="s">
        <v>23</v>
      </c>
      <c r="J1100" t="s">
        <v>115</v>
      </c>
      <c r="K1100" t="s">
        <v>116</v>
      </c>
      <c r="L1100">
        <v>19120</v>
      </c>
      <c r="M1100" t="s">
        <v>117</v>
      </c>
      <c r="N1100" t="s">
        <v>3916</v>
      </c>
      <c r="O1100" t="s">
        <v>39</v>
      </c>
      <c r="P1100" t="s">
        <v>154</v>
      </c>
      <c r="Q1100" t="s">
        <v>3917</v>
      </c>
      <c r="R1100">
        <v>57576</v>
      </c>
    </row>
    <row r="1101" spans="1:18" x14ac:dyDescent="0.3">
      <c r="A1101" t="s">
        <v>4316</v>
      </c>
      <c r="B1101" s="1">
        <v>43014</v>
      </c>
      <c r="C1101" s="1">
        <v>43014</v>
      </c>
      <c r="D1101" s="1">
        <v>43009</v>
      </c>
      <c r="E1101" t="s">
        <v>857</v>
      </c>
      <c r="F1101" t="s">
        <v>617</v>
      </c>
      <c r="G1101" t="s">
        <v>618</v>
      </c>
      <c r="H1101" t="s">
        <v>22</v>
      </c>
      <c r="I1101" t="s">
        <v>23</v>
      </c>
      <c r="J1101" t="s">
        <v>2722</v>
      </c>
      <c r="K1101" t="s">
        <v>474</v>
      </c>
      <c r="L1101">
        <v>74133</v>
      </c>
      <c r="M1101" t="s">
        <v>79</v>
      </c>
      <c r="N1101" t="s">
        <v>245</v>
      </c>
      <c r="O1101" t="s">
        <v>39</v>
      </c>
      <c r="P1101" t="s">
        <v>71</v>
      </c>
      <c r="Q1101" t="s">
        <v>246</v>
      </c>
      <c r="R1101">
        <v>2885</v>
      </c>
    </row>
    <row r="1102" spans="1:18" x14ac:dyDescent="0.3">
      <c r="A1102" t="s">
        <v>4317</v>
      </c>
      <c r="B1102" s="1">
        <v>42482</v>
      </c>
      <c r="C1102" s="1">
        <v>42486</v>
      </c>
      <c r="D1102" s="1">
        <v>42461</v>
      </c>
      <c r="E1102" t="s">
        <v>43</v>
      </c>
      <c r="F1102" t="s">
        <v>3175</v>
      </c>
      <c r="G1102" t="s">
        <v>3176</v>
      </c>
      <c r="H1102" t="s">
        <v>22</v>
      </c>
      <c r="I1102" t="s">
        <v>23</v>
      </c>
      <c r="J1102" t="s">
        <v>35</v>
      </c>
      <c r="K1102" t="s">
        <v>36</v>
      </c>
      <c r="L1102">
        <v>90008</v>
      </c>
      <c r="M1102" t="s">
        <v>37</v>
      </c>
      <c r="N1102" t="s">
        <v>1826</v>
      </c>
      <c r="O1102" t="s">
        <v>147</v>
      </c>
      <c r="P1102" t="s">
        <v>148</v>
      </c>
      <c r="Q1102" t="s">
        <v>1827</v>
      </c>
      <c r="R1102">
        <v>88776</v>
      </c>
    </row>
    <row r="1103" spans="1:18" x14ac:dyDescent="0.3">
      <c r="A1103" t="s">
        <v>4318</v>
      </c>
      <c r="B1103" s="1">
        <v>42263</v>
      </c>
      <c r="C1103" s="1">
        <v>42266</v>
      </c>
      <c r="D1103" s="1">
        <v>42248</v>
      </c>
      <c r="E1103" t="s">
        <v>142</v>
      </c>
      <c r="F1103" t="s">
        <v>2980</v>
      </c>
      <c r="G1103" t="s">
        <v>2981</v>
      </c>
      <c r="H1103" t="s">
        <v>34</v>
      </c>
      <c r="I1103" t="s">
        <v>23</v>
      </c>
      <c r="J1103" t="s">
        <v>206</v>
      </c>
      <c r="K1103" t="s">
        <v>207</v>
      </c>
      <c r="L1103">
        <v>10024</v>
      </c>
      <c r="M1103" t="s">
        <v>117</v>
      </c>
      <c r="N1103" t="s">
        <v>4319</v>
      </c>
      <c r="O1103" t="s">
        <v>39</v>
      </c>
      <c r="P1103" t="s">
        <v>71</v>
      </c>
      <c r="Q1103" t="s">
        <v>4320</v>
      </c>
      <c r="R1103">
        <v>33552</v>
      </c>
    </row>
    <row r="1104" spans="1:18" x14ac:dyDescent="0.3">
      <c r="A1104" t="s">
        <v>4321</v>
      </c>
      <c r="B1104" s="1">
        <v>42258</v>
      </c>
      <c r="C1104" s="1">
        <v>42263</v>
      </c>
      <c r="D1104" s="1">
        <v>42248</v>
      </c>
      <c r="E1104" t="s">
        <v>43</v>
      </c>
      <c r="F1104" t="s">
        <v>4322</v>
      </c>
      <c r="G1104" t="s">
        <v>4323</v>
      </c>
      <c r="H1104" t="s">
        <v>22</v>
      </c>
      <c r="I1104" t="s">
        <v>23</v>
      </c>
      <c r="J1104" t="s">
        <v>4324</v>
      </c>
      <c r="K1104" t="s">
        <v>36</v>
      </c>
      <c r="L1104">
        <v>93030</v>
      </c>
      <c r="M1104" t="s">
        <v>37</v>
      </c>
      <c r="N1104" t="s">
        <v>4325</v>
      </c>
      <c r="O1104" t="s">
        <v>28</v>
      </c>
      <c r="P1104" t="s">
        <v>55</v>
      </c>
      <c r="Q1104" t="s">
        <v>4326</v>
      </c>
      <c r="R1104">
        <v>12795</v>
      </c>
    </row>
    <row r="1105" spans="1:18" x14ac:dyDescent="0.3">
      <c r="A1105" t="s">
        <v>4327</v>
      </c>
      <c r="B1105" s="1">
        <v>42172</v>
      </c>
      <c r="C1105" s="1">
        <v>42178</v>
      </c>
      <c r="D1105" s="1">
        <v>42156</v>
      </c>
      <c r="E1105" t="s">
        <v>43</v>
      </c>
      <c r="F1105" t="s">
        <v>4328</v>
      </c>
      <c r="G1105" t="s">
        <v>4329</v>
      </c>
      <c r="H1105" t="s">
        <v>22</v>
      </c>
      <c r="I1105" t="s">
        <v>23</v>
      </c>
      <c r="J1105" t="s">
        <v>447</v>
      </c>
      <c r="K1105" t="s">
        <v>193</v>
      </c>
      <c r="L1105">
        <v>19711</v>
      </c>
      <c r="M1105" t="s">
        <v>117</v>
      </c>
      <c r="N1105" t="s">
        <v>4330</v>
      </c>
      <c r="O1105" t="s">
        <v>147</v>
      </c>
      <c r="P1105" t="s">
        <v>680</v>
      </c>
      <c r="Q1105" t="s">
        <v>4331</v>
      </c>
      <c r="R1105">
        <v>6597</v>
      </c>
    </row>
    <row r="1106" spans="1:18" x14ac:dyDescent="0.3">
      <c r="A1106" t="s">
        <v>4332</v>
      </c>
      <c r="B1106" s="1">
        <v>42672</v>
      </c>
      <c r="C1106" s="1">
        <v>42676</v>
      </c>
      <c r="D1106" s="1">
        <v>42644</v>
      </c>
      <c r="E1106" t="s">
        <v>43</v>
      </c>
      <c r="F1106" t="s">
        <v>1300</v>
      </c>
      <c r="G1106" t="s">
        <v>1301</v>
      </c>
      <c r="H1106" t="s">
        <v>34</v>
      </c>
      <c r="I1106" t="s">
        <v>23</v>
      </c>
      <c r="J1106" t="s">
        <v>101</v>
      </c>
      <c r="K1106" t="s">
        <v>36</v>
      </c>
      <c r="L1106">
        <v>94109</v>
      </c>
      <c r="M1106" t="s">
        <v>37</v>
      </c>
      <c r="N1106" t="s">
        <v>4333</v>
      </c>
      <c r="O1106" t="s">
        <v>39</v>
      </c>
      <c r="P1106" t="s">
        <v>63</v>
      </c>
      <c r="Q1106" t="s">
        <v>4334</v>
      </c>
      <c r="R1106">
        <v>334</v>
      </c>
    </row>
    <row r="1107" spans="1:18" x14ac:dyDescent="0.3">
      <c r="A1107" t="s">
        <v>4335</v>
      </c>
      <c r="B1107" s="1">
        <v>42436</v>
      </c>
      <c r="C1107" s="1">
        <v>42439</v>
      </c>
      <c r="D1107" s="1">
        <v>42430</v>
      </c>
      <c r="E1107" t="s">
        <v>142</v>
      </c>
      <c r="F1107" t="s">
        <v>4336</v>
      </c>
      <c r="G1107" t="s">
        <v>4337</v>
      </c>
      <c r="H1107" t="s">
        <v>76</v>
      </c>
      <c r="I1107" t="s">
        <v>23</v>
      </c>
      <c r="J1107" t="s">
        <v>447</v>
      </c>
      <c r="K1107" t="s">
        <v>193</v>
      </c>
      <c r="L1107">
        <v>19711</v>
      </c>
      <c r="M1107" t="s">
        <v>117</v>
      </c>
      <c r="N1107" t="s">
        <v>691</v>
      </c>
      <c r="O1107" t="s">
        <v>147</v>
      </c>
      <c r="P1107" t="s">
        <v>180</v>
      </c>
      <c r="Q1107" t="s">
        <v>692</v>
      </c>
      <c r="R1107">
        <v>11985</v>
      </c>
    </row>
    <row r="1108" spans="1:18" x14ac:dyDescent="0.3">
      <c r="A1108" t="s">
        <v>4338</v>
      </c>
      <c r="B1108" s="1">
        <v>42034</v>
      </c>
      <c r="C1108" s="1">
        <v>42039</v>
      </c>
      <c r="D1108" s="1">
        <v>42005</v>
      </c>
      <c r="E1108" t="s">
        <v>43</v>
      </c>
      <c r="F1108" t="s">
        <v>914</v>
      </c>
      <c r="G1108" t="s">
        <v>915</v>
      </c>
      <c r="H1108" t="s">
        <v>22</v>
      </c>
      <c r="I1108" t="s">
        <v>23</v>
      </c>
      <c r="J1108" t="s">
        <v>628</v>
      </c>
      <c r="K1108" t="s">
        <v>186</v>
      </c>
      <c r="L1108">
        <v>48234</v>
      </c>
      <c r="M1108" t="s">
        <v>79</v>
      </c>
      <c r="N1108" t="s">
        <v>2808</v>
      </c>
      <c r="O1108" t="s">
        <v>39</v>
      </c>
      <c r="P1108" t="s">
        <v>63</v>
      </c>
      <c r="Q1108" t="s">
        <v>2809</v>
      </c>
      <c r="R1108">
        <v>1056</v>
      </c>
    </row>
    <row r="1109" spans="1:18" x14ac:dyDescent="0.3">
      <c r="A1109" t="s">
        <v>4339</v>
      </c>
      <c r="B1109" s="1">
        <v>42407</v>
      </c>
      <c r="C1109" s="1">
        <v>42411</v>
      </c>
      <c r="D1109" s="1">
        <v>42401</v>
      </c>
      <c r="E1109" t="s">
        <v>43</v>
      </c>
      <c r="F1109" t="s">
        <v>2604</v>
      </c>
      <c r="G1109" t="s">
        <v>2605</v>
      </c>
      <c r="H1109" t="s">
        <v>34</v>
      </c>
      <c r="I1109" t="s">
        <v>23</v>
      </c>
      <c r="J1109" t="s">
        <v>238</v>
      </c>
      <c r="K1109" t="s">
        <v>239</v>
      </c>
      <c r="L1109">
        <v>22153</v>
      </c>
      <c r="M1109" t="s">
        <v>26</v>
      </c>
      <c r="N1109" t="s">
        <v>1564</v>
      </c>
      <c r="O1109" t="s">
        <v>39</v>
      </c>
      <c r="P1109" t="s">
        <v>154</v>
      </c>
      <c r="Q1109" t="s">
        <v>1565</v>
      </c>
      <c r="R1109">
        <v>31115</v>
      </c>
    </row>
    <row r="1110" spans="1:18" x14ac:dyDescent="0.3">
      <c r="A1110" t="s">
        <v>4340</v>
      </c>
      <c r="B1110" s="1">
        <v>43404</v>
      </c>
      <c r="C1110" s="1">
        <v>43408</v>
      </c>
      <c r="D1110" s="1">
        <v>43374</v>
      </c>
      <c r="E1110" t="s">
        <v>43</v>
      </c>
      <c r="F1110" t="s">
        <v>2969</v>
      </c>
      <c r="G1110" t="s">
        <v>2970</v>
      </c>
      <c r="H1110" t="s">
        <v>76</v>
      </c>
      <c r="I1110" t="s">
        <v>23</v>
      </c>
      <c r="J1110" t="s">
        <v>590</v>
      </c>
      <c r="K1110" t="s">
        <v>78</v>
      </c>
      <c r="L1110">
        <v>75217</v>
      </c>
      <c r="M1110" t="s">
        <v>79</v>
      </c>
      <c r="N1110" t="s">
        <v>749</v>
      </c>
      <c r="O1110" t="s">
        <v>39</v>
      </c>
      <c r="P1110" t="s">
        <v>103</v>
      </c>
      <c r="Q1110" t="s">
        <v>750</v>
      </c>
      <c r="R1110">
        <v>5248</v>
      </c>
    </row>
    <row r="1111" spans="1:18" x14ac:dyDescent="0.3">
      <c r="A1111" t="s">
        <v>4341</v>
      </c>
      <c r="B1111" s="1">
        <v>43250</v>
      </c>
      <c r="C1111" s="1">
        <v>43251</v>
      </c>
      <c r="D1111" s="1">
        <v>43221</v>
      </c>
      <c r="E1111" t="s">
        <v>142</v>
      </c>
      <c r="F1111" t="s">
        <v>1267</v>
      </c>
      <c r="G1111" t="s">
        <v>1268</v>
      </c>
      <c r="H1111" t="s">
        <v>22</v>
      </c>
      <c r="I1111" t="s">
        <v>23</v>
      </c>
      <c r="J1111" t="s">
        <v>2858</v>
      </c>
      <c r="K1111" t="s">
        <v>532</v>
      </c>
      <c r="L1111">
        <v>70506</v>
      </c>
      <c r="M1111" t="s">
        <v>26</v>
      </c>
      <c r="N1111" t="s">
        <v>2666</v>
      </c>
      <c r="O1111" t="s">
        <v>28</v>
      </c>
      <c r="P1111" t="s">
        <v>29</v>
      </c>
      <c r="Q1111" t="s">
        <v>2667</v>
      </c>
      <c r="R1111">
        <v>24196</v>
      </c>
    </row>
    <row r="1112" spans="1:18" x14ac:dyDescent="0.3">
      <c r="A1112" t="s">
        <v>4342</v>
      </c>
      <c r="B1112" s="1">
        <v>42459</v>
      </c>
      <c r="C1112" s="1">
        <v>42464</v>
      </c>
      <c r="D1112" s="1">
        <v>42430</v>
      </c>
      <c r="E1112" t="s">
        <v>43</v>
      </c>
      <c r="F1112" t="s">
        <v>4343</v>
      </c>
      <c r="G1112" t="s">
        <v>4344</v>
      </c>
      <c r="H1112" t="s">
        <v>34</v>
      </c>
      <c r="I1112" t="s">
        <v>23</v>
      </c>
      <c r="J1112" t="s">
        <v>225</v>
      </c>
      <c r="K1112" t="s">
        <v>160</v>
      </c>
      <c r="L1112">
        <v>60610</v>
      </c>
      <c r="M1112" t="s">
        <v>79</v>
      </c>
      <c r="N1112" t="s">
        <v>3578</v>
      </c>
      <c r="O1112" t="s">
        <v>39</v>
      </c>
      <c r="P1112" t="s">
        <v>63</v>
      </c>
      <c r="Q1112" t="s">
        <v>3579</v>
      </c>
      <c r="R1112">
        <v>2352</v>
      </c>
    </row>
    <row r="1113" spans="1:18" x14ac:dyDescent="0.3">
      <c r="A1113" t="s">
        <v>4345</v>
      </c>
      <c r="B1113" s="1">
        <v>42611</v>
      </c>
      <c r="C1113" s="1">
        <v>42615</v>
      </c>
      <c r="D1113" s="1">
        <v>42583</v>
      </c>
      <c r="E1113" t="s">
        <v>43</v>
      </c>
      <c r="F1113" t="s">
        <v>4346</v>
      </c>
      <c r="G1113" t="s">
        <v>4347</v>
      </c>
      <c r="H1113" t="s">
        <v>76</v>
      </c>
      <c r="I1113" t="s">
        <v>23</v>
      </c>
      <c r="J1113" t="s">
        <v>628</v>
      </c>
      <c r="K1113" t="s">
        <v>186</v>
      </c>
      <c r="L1113">
        <v>48234</v>
      </c>
      <c r="M1113" t="s">
        <v>79</v>
      </c>
      <c r="N1113" t="s">
        <v>4348</v>
      </c>
      <c r="O1113" t="s">
        <v>147</v>
      </c>
      <c r="P1113" t="s">
        <v>148</v>
      </c>
      <c r="Q1113" t="s">
        <v>4349</v>
      </c>
      <c r="R1113">
        <v>13198</v>
      </c>
    </row>
    <row r="1114" spans="1:18" x14ac:dyDescent="0.3">
      <c r="A1114" t="s">
        <v>4350</v>
      </c>
      <c r="B1114" s="1">
        <v>42018</v>
      </c>
      <c r="C1114" s="1">
        <v>42019</v>
      </c>
      <c r="D1114" s="1">
        <v>42005</v>
      </c>
      <c r="E1114" t="s">
        <v>142</v>
      </c>
      <c r="F1114" t="s">
        <v>229</v>
      </c>
      <c r="G1114" t="s">
        <v>230</v>
      </c>
      <c r="H1114" t="s">
        <v>34</v>
      </c>
      <c r="I1114" t="s">
        <v>23</v>
      </c>
      <c r="J1114" t="s">
        <v>115</v>
      </c>
      <c r="K1114" t="s">
        <v>116</v>
      </c>
      <c r="L1114">
        <v>19140</v>
      </c>
      <c r="M1114" t="s">
        <v>117</v>
      </c>
      <c r="N1114" t="s">
        <v>2168</v>
      </c>
      <c r="O1114" t="s">
        <v>28</v>
      </c>
      <c r="P1114" t="s">
        <v>29</v>
      </c>
      <c r="Q1114" t="s">
        <v>2169</v>
      </c>
      <c r="R1114">
        <v>6196</v>
      </c>
    </row>
    <row r="1115" spans="1:18" x14ac:dyDescent="0.3">
      <c r="A1115" t="s">
        <v>4351</v>
      </c>
      <c r="B1115" s="1">
        <v>42450</v>
      </c>
      <c r="C1115" s="1">
        <v>42455</v>
      </c>
      <c r="D1115" s="1">
        <v>42430</v>
      </c>
      <c r="E1115" t="s">
        <v>43</v>
      </c>
      <c r="F1115" t="s">
        <v>4352</v>
      </c>
      <c r="G1115" t="s">
        <v>4353</v>
      </c>
      <c r="H1115" t="s">
        <v>22</v>
      </c>
      <c r="I1115" t="s">
        <v>23</v>
      </c>
      <c r="J1115" t="s">
        <v>1007</v>
      </c>
      <c r="K1115" t="s">
        <v>61</v>
      </c>
      <c r="L1115">
        <v>28540</v>
      </c>
      <c r="M1115" t="s">
        <v>26</v>
      </c>
      <c r="N1115" t="s">
        <v>4354</v>
      </c>
      <c r="O1115" t="s">
        <v>39</v>
      </c>
      <c r="P1115" t="s">
        <v>81</v>
      </c>
      <c r="Q1115" t="s">
        <v>4355</v>
      </c>
      <c r="R1115">
        <v>96208</v>
      </c>
    </row>
    <row r="1116" spans="1:18" x14ac:dyDescent="0.3">
      <c r="A1116" t="s">
        <v>4356</v>
      </c>
      <c r="B1116" s="1">
        <v>42262</v>
      </c>
      <c r="C1116" s="1">
        <v>42266</v>
      </c>
      <c r="D1116" s="1">
        <v>42248</v>
      </c>
      <c r="E1116" t="s">
        <v>43</v>
      </c>
      <c r="F1116" t="s">
        <v>4357</v>
      </c>
      <c r="G1116" t="s">
        <v>4358</v>
      </c>
      <c r="H1116" t="s">
        <v>34</v>
      </c>
      <c r="I1116" t="s">
        <v>23</v>
      </c>
      <c r="J1116" t="s">
        <v>115</v>
      </c>
      <c r="K1116" t="s">
        <v>116</v>
      </c>
      <c r="L1116">
        <v>19120</v>
      </c>
      <c r="M1116" t="s">
        <v>117</v>
      </c>
      <c r="N1116" t="s">
        <v>1469</v>
      </c>
      <c r="O1116" t="s">
        <v>28</v>
      </c>
      <c r="P1116" t="s">
        <v>55</v>
      </c>
      <c r="Q1116" t="s">
        <v>1470</v>
      </c>
      <c r="R1116">
        <v>103936</v>
      </c>
    </row>
    <row r="1117" spans="1:18" x14ac:dyDescent="0.3">
      <c r="A1117" t="s">
        <v>4359</v>
      </c>
      <c r="B1117" s="1">
        <v>42575</v>
      </c>
      <c r="C1117" s="1">
        <v>42579</v>
      </c>
      <c r="D1117" s="1">
        <v>42552</v>
      </c>
      <c r="E1117" t="s">
        <v>43</v>
      </c>
      <c r="F1117" t="s">
        <v>4360</v>
      </c>
      <c r="G1117" t="s">
        <v>4361</v>
      </c>
      <c r="H1117" t="s">
        <v>76</v>
      </c>
      <c r="I1117" t="s">
        <v>23</v>
      </c>
      <c r="J1117" t="s">
        <v>978</v>
      </c>
      <c r="K1117" t="s">
        <v>25</v>
      </c>
      <c r="L1117">
        <v>40214</v>
      </c>
      <c r="M1117" t="s">
        <v>26</v>
      </c>
      <c r="N1117" t="s">
        <v>54</v>
      </c>
      <c r="O1117" t="s">
        <v>28</v>
      </c>
      <c r="P1117" t="s">
        <v>55</v>
      </c>
      <c r="Q1117" t="s">
        <v>56</v>
      </c>
      <c r="R1117">
        <v>2094</v>
      </c>
    </row>
    <row r="1118" spans="1:18" x14ac:dyDescent="0.3">
      <c r="A1118" t="s">
        <v>4362</v>
      </c>
      <c r="B1118" s="1">
        <v>42058</v>
      </c>
      <c r="C1118" s="1">
        <v>42062</v>
      </c>
      <c r="D1118" s="1">
        <v>42036</v>
      </c>
      <c r="E1118" t="s">
        <v>43</v>
      </c>
      <c r="F1118" t="s">
        <v>4363</v>
      </c>
      <c r="G1118" t="s">
        <v>4364</v>
      </c>
      <c r="H1118" t="s">
        <v>76</v>
      </c>
      <c r="I1118" t="s">
        <v>23</v>
      </c>
      <c r="J1118" t="s">
        <v>2518</v>
      </c>
      <c r="K1118" t="s">
        <v>78</v>
      </c>
      <c r="L1118">
        <v>79907</v>
      </c>
      <c r="M1118" t="s">
        <v>79</v>
      </c>
      <c r="N1118" t="s">
        <v>2085</v>
      </c>
      <c r="O1118" t="s">
        <v>39</v>
      </c>
      <c r="P1118" t="s">
        <v>40</v>
      </c>
      <c r="Q1118" t="s">
        <v>2086</v>
      </c>
      <c r="R1118">
        <v>6936</v>
      </c>
    </row>
    <row r="1119" spans="1:18" x14ac:dyDescent="0.3">
      <c r="A1119" t="s">
        <v>4365</v>
      </c>
      <c r="B1119" s="1">
        <v>42526</v>
      </c>
      <c r="C1119" s="1">
        <v>42531</v>
      </c>
      <c r="D1119" s="1">
        <v>42522</v>
      </c>
      <c r="E1119" t="s">
        <v>43</v>
      </c>
      <c r="F1119" t="s">
        <v>2490</v>
      </c>
      <c r="G1119" t="s">
        <v>2491</v>
      </c>
      <c r="H1119" t="s">
        <v>34</v>
      </c>
      <c r="I1119" t="s">
        <v>23</v>
      </c>
      <c r="J1119" t="s">
        <v>4029</v>
      </c>
      <c r="K1119" t="s">
        <v>207</v>
      </c>
      <c r="L1119">
        <v>14215</v>
      </c>
      <c r="M1119" t="s">
        <v>117</v>
      </c>
      <c r="N1119" t="s">
        <v>4366</v>
      </c>
      <c r="O1119" t="s">
        <v>28</v>
      </c>
      <c r="P1119" t="s">
        <v>119</v>
      </c>
      <c r="Q1119" t="s">
        <v>4367</v>
      </c>
      <c r="R1119">
        <v>1522638</v>
      </c>
    </row>
    <row r="1120" spans="1:18" x14ac:dyDescent="0.3">
      <c r="A1120" t="s">
        <v>4368</v>
      </c>
      <c r="B1120" s="1">
        <v>42131</v>
      </c>
      <c r="C1120" s="1">
        <v>42136</v>
      </c>
      <c r="D1120" s="1">
        <v>42125</v>
      </c>
      <c r="E1120" t="s">
        <v>43</v>
      </c>
      <c r="F1120" t="s">
        <v>4369</v>
      </c>
      <c r="G1120" t="s">
        <v>4370</v>
      </c>
      <c r="H1120" t="s">
        <v>22</v>
      </c>
      <c r="I1120" t="s">
        <v>23</v>
      </c>
      <c r="J1120" t="s">
        <v>1157</v>
      </c>
      <c r="K1120" t="s">
        <v>829</v>
      </c>
      <c r="L1120">
        <v>1841</v>
      </c>
      <c r="M1120" t="s">
        <v>117</v>
      </c>
      <c r="N1120" t="s">
        <v>1744</v>
      </c>
      <c r="O1120" t="s">
        <v>39</v>
      </c>
      <c r="P1120" t="s">
        <v>71</v>
      </c>
      <c r="Q1120" t="s">
        <v>1745</v>
      </c>
      <c r="R1120">
        <v>1614</v>
      </c>
    </row>
    <row r="1121" spans="1:18" x14ac:dyDescent="0.3">
      <c r="A1121" t="s">
        <v>4371</v>
      </c>
      <c r="B1121" s="1">
        <v>43136</v>
      </c>
      <c r="C1121" s="1">
        <v>43139</v>
      </c>
      <c r="D1121" s="1">
        <v>43132</v>
      </c>
      <c r="E1121" t="s">
        <v>19</v>
      </c>
      <c r="F1121" t="s">
        <v>565</v>
      </c>
      <c r="G1121" t="s">
        <v>566</v>
      </c>
      <c r="H1121" t="s">
        <v>22</v>
      </c>
      <c r="I1121" t="s">
        <v>23</v>
      </c>
      <c r="J1121" t="s">
        <v>4230</v>
      </c>
      <c r="K1121" t="s">
        <v>78</v>
      </c>
      <c r="L1121">
        <v>76706</v>
      </c>
      <c r="M1121" t="s">
        <v>79</v>
      </c>
      <c r="N1121" t="s">
        <v>2812</v>
      </c>
      <c r="O1121" t="s">
        <v>39</v>
      </c>
      <c r="P1121" t="s">
        <v>71</v>
      </c>
      <c r="Q1121" t="s">
        <v>2813</v>
      </c>
      <c r="R1121">
        <v>243992</v>
      </c>
    </row>
    <row r="1122" spans="1:18" x14ac:dyDescent="0.3">
      <c r="A1122" t="s">
        <v>4372</v>
      </c>
      <c r="B1122" s="1">
        <v>42865</v>
      </c>
      <c r="C1122" s="1">
        <v>42871</v>
      </c>
      <c r="D1122" s="1">
        <v>42856</v>
      </c>
      <c r="E1122" t="s">
        <v>43</v>
      </c>
      <c r="F1122" t="s">
        <v>3976</v>
      </c>
      <c r="G1122" t="s">
        <v>3977</v>
      </c>
      <c r="H1122" t="s">
        <v>22</v>
      </c>
      <c r="I1122" t="s">
        <v>23</v>
      </c>
      <c r="J1122" t="s">
        <v>68</v>
      </c>
      <c r="K1122" t="s">
        <v>69</v>
      </c>
      <c r="L1122">
        <v>98105</v>
      </c>
      <c r="M1122" t="s">
        <v>37</v>
      </c>
      <c r="N1122" t="s">
        <v>4373</v>
      </c>
      <c r="O1122" t="s">
        <v>39</v>
      </c>
      <c r="P1122" t="s">
        <v>63</v>
      </c>
      <c r="Q1122" t="s">
        <v>4374</v>
      </c>
      <c r="R1122">
        <v>1196</v>
      </c>
    </row>
    <row r="1123" spans="1:18" x14ac:dyDescent="0.3">
      <c r="A1123" t="s">
        <v>4375</v>
      </c>
      <c r="B1123" s="1">
        <v>42954</v>
      </c>
      <c r="C1123" s="1">
        <v>42958</v>
      </c>
      <c r="D1123" s="1">
        <v>42948</v>
      </c>
      <c r="E1123" t="s">
        <v>43</v>
      </c>
      <c r="F1123" t="s">
        <v>413</v>
      </c>
      <c r="G1123" t="s">
        <v>414</v>
      </c>
      <c r="H1123" t="s">
        <v>34</v>
      </c>
      <c r="I1123" t="s">
        <v>23</v>
      </c>
      <c r="J1123" t="s">
        <v>1604</v>
      </c>
      <c r="K1123" t="s">
        <v>69</v>
      </c>
      <c r="L1123">
        <v>98026</v>
      </c>
      <c r="M1123" t="s">
        <v>37</v>
      </c>
      <c r="N1123" t="s">
        <v>4376</v>
      </c>
      <c r="O1123" t="s">
        <v>147</v>
      </c>
      <c r="P1123" t="s">
        <v>180</v>
      </c>
      <c r="Q1123" t="s">
        <v>4377</v>
      </c>
      <c r="R1123">
        <v>17997</v>
      </c>
    </row>
    <row r="1124" spans="1:18" x14ac:dyDescent="0.3">
      <c r="A1124" t="s">
        <v>4378</v>
      </c>
      <c r="B1124" s="1">
        <v>42481</v>
      </c>
      <c r="C1124" s="1">
        <v>42488</v>
      </c>
      <c r="D1124" s="1">
        <v>42461</v>
      </c>
      <c r="E1124" t="s">
        <v>43</v>
      </c>
      <c r="F1124" t="s">
        <v>4379</v>
      </c>
      <c r="G1124" t="s">
        <v>4380</v>
      </c>
      <c r="H1124" t="s">
        <v>22</v>
      </c>
      <c r="I1124" t="s">
        <v>23</v>
      </c>
      <c r="J1124" t="s">
        <v>978</v>
      </c>
      <c r="K1124" t="s">
        <v>25</v>
      </c>
      <c r="L1124">
        <v>40214</v>
      </c>
      <c r="M1124" t="s">
        <v>26</v>
      </c>
      <c r="N1124" t="s">
        <v>4381</v>
      </c>
      <c r="O1124" t="s">
        <v>28</v>
      </c>
      <c r="P1124" t="s">
        <v>119</v>
      </c>
      <c r="Q1124" t="s">
        <v>4382</v>
      </c>
      <c r="R1124">
        <v>19196</v>
      </c>
    </row>
    <row r="1125" spans="1:18" x14ac:dyDescent="0.3">
      <c r="A1125" t="s">
        <v>4383</v>
      </c>
      <c r="B1125" s="1">
        <v>43113</v>
      </c>
      <c r="C1125" s="1">
        <v>43118</v>
      </c>
      <c r="D1125" s="1">
        <v>43101</v>
      </c>
      <c r="E1125" t="s">
        <v>19</v>
      </c>
      <c r="F1125" t="s">
        <v>2199</v>
      </c>
      <c r="G1125" t="s">
        <v>2200</v>
      </c>
      <c r="H1125" t="s">
        <v>34</v>
      </c>
      <c r="I1125" t="s">
        <v>23</v>
      </c>
      <c r="J1125" t="s">
        <v>238</v>
      </c>
      <c r="K1125" t="s">
        <v>437</v>
      </c>
      <c r="L1125">
        <v>65807</v>
      </c>
      <c r="M1125" t="s">
        <v>79</v>
      </c>
      <c r="N1125" t="s">
        <v>4384</v>
      </c>
      <c r="O1125" t="s">
        <v>39</v>
      </c>
      <c r="P1125" t="s">
        <v>63</v>
      </c>
      <c r="Q1125" t="s">
        <v>4385</v>
      </c>
      <c r="R1125">
        <v>324</v>
      </c>
    </row>
    <row r="1126" spans="1:18" x14ac:dyDescent="0.3">
      <c r="A1126" t="s">
        <v>4386</v>
      </c>
      <c r="B1126" s="1">
        <v>42253</v>
      </c>
      <c r="C1126" s="1">
        <v>42256</v>
      </c>
      <c r="D1126" s="1">
        <v>42248</v>
      </c>
      <c r="E1126" t="s">
        <v>142</v>
      </c>
      <c r="F1126" t="s">
        <v>4387</v>
      </c>
      <c r="G1126" t="s">
        <v>4388</v>
      </c>
      <c r="H1126" t="s">
        <v>34</v>
      </c>
      <c r="I1126" t="s">
        <v>23</v>
      </c>
      <c r="J1126" t="s">
        <v>101</v>
      </c>
      <c r="K1126" t="s">
        <v>36</v>
      </c>
      <c r="L1126">
        <v>94109</v>
      </c>
      <c r="M1126" t="s">
        <v>37</v>
      </c>
      <c r="N1126" t="s">
        <v>54</v>
      </c>
      <c r="O1126" t="s">
        <v>28</v>
      </c>
      <c r="P1126" t="s">
        <v>55</v>
      </c>
      <c r="Q1126" t="s">
        <v>56</v>
      </c>
      <c r="R1126">
        <v>4188</v>
      </c>
    </row>
    <row r="1127" spans="1:18" x14ac:dyDescent="0.3">
      <c r="A1127" t="s">
        <v>4389</v>
      </c>
      <c r="B1127" s="1">
        <v>42388</v>
      </c>
      <c r="C1127" s="1">
        <v>42392</v>
      </c>
      <c r="D1127" s="1">
        <v>42370</v>
      </c>
      <c r="E1127" t="s">
        <v>43</v>
      </c>
      <c r="F1127" t="s">
        <v>2061</v>
      </c>
      <c r="G1127" t="s">
        <v>2062</v>
      </c>
      <c r="H1127" t="s">
        <v>22</v>
      </c>
      <c r="I1127" t="s">
        <v>23</v>
      </c>
      <c r="J1127" t="s">
        <v>4390</v>
      </c>
      <c r="K1127" t="s">
        <v>78</v>
      </c>
      <c r="L1127">
        <v>77590</v>
      </c>
      <c r="M1127" t="s">
        <v>79</v>
      </c>
      <c r="N1127" t="s">
        <v>3988</v>
      </c>
      <c r="O1127" t="s">
        <v>28</v>
      </c>
      <c r="P1127" t="s">
        <v>49</v>
      </c>
      <c r="Q1127" t="s">
        <v>3989</v>
      </c>
      <c r="R1127">
        <v>102438</v>
      </c>
    </row>
    <row r="1128" spans="1:18" x14ac:dyDescent="0.3">
      <c r="A1128" t="s">
        <v>4391</v>
      </c>
      <c r="B1128" s="1">
        <v>43245</v>
      </c>
      <c r="C1128" s="1">
        <v>43249</v>
      </c>
      <c r="D1128" s="1">
        <v>43221</v>
      </c>
      <c r="E1128" t="s">
        <v>43</v>
      </c>
      <c r="F1128" t="s">
        <v>2127</v>
      </c>
      <c r="G1128" t="s">
        <v>2128</v>
      </c>
      <c r="H1128" t="s">
        <v>76</v>
      </c>
      <c r="I1128" t="s">
        <v>23</v>
      </c>
      <c r="J1128" t="s">
        <v>376</v>
      </c>
      <c r="K1128" t="s">
        <v>845</v>
      </c>
      <c r="L1128">
        <v>31907</v>
      </c>
      <c r="M1128" t="s">
        <v>26</v>
      </c>
      <c r="N1128" t="s">
        <v>4392</v>
      </c>
      <c r="O1128" t="s">
        <v>39</v>
      </c>
      <c r="P1128" t="s">
        <v>71</v>
      </c>
      <c r="Q1128" t="s">
        <v>4393</v>
      </c>
      <c r="R1128">
        <v>2984</v>
      </c>
    </row>
    <row r="1129" spans="1:18" x14ac:dyDescent="0.3">
      <c r="A1129" t="s">
        <v>4394</v>
      </c>
      <c r="B1129" s="1">
        <v>42313</v>
      </c>
      <c r="C1129" s="1">
        <v>42318</v>
      </c>
      <c r="D1129" s="1">
        <v>42309</v>
      </c>
      <c r="E1129" t="s">
        <v>43</v>
      </c>
      <c r="F1129" t="s">
        <v>1924</v>
      </c>
      <c r="G1129" t="s">
        <v>1925</v>
      </c>
      <c r="H1129" t="s">
        <v>76</v>
      </c>
      <c r="I1129" t="s">
        <v>23</v>
      </c>
      <c r="J1129" t="s">
        <v>35</v>
      </c>
      <c r="K1129" t="s">
        <v>36</v>
      </c>
      <c r="L1129">
        <v>90008</v>
      </c>
      <c r="M1129" t="s">
        <v>37</v>
      </c>
      <c r="N1129" t="s">
        <v>4395</v>
      </c>
      <c r="O1129" t="s">
        <v>28</v>
      </c>
      <c r="P1129" t="s">
        <v>55</v>
      </c>
      <c r="Q1129" t="s">
        <v>4396</v>
      </c>
      <c r="R1129">
        <v>2004</v>
      </c>
    </row>
    <row r="1130" spans="1:18" x14ac:dyDescent="0.3">
      <c r="A1130" t="s">
        <v>4397</v>
      </c>
      <c r="B1130" s="1">
        <v>42510</v>
      </c>
      <c r="C1130" s="1">
        <v>42514</v>
      </c>
      <c r="D1130" s="1">
        <v>42491</v>
      </c>
      <c r="E1130" t="s">
        <v>43</v>
      </c>
      <c r="F1130" t="s">
        <v>4398</v>
      </c>
      <c r="G1130" t="s">
        <v>4399</v>
      </c>
      <c r="H1130" t="s">
        <v>22</v>
      </c>
      <c r="I1130" t="s">
        <v>23</v>
      </c>
      <c r="J1130" t="s">
        <v>4400</v>
      </c>
      <c r="K1130" t="s">
        <v>61</v>
      </c>
      <c r="L1130">
        <v>27893</v>
      </c>
      <c r="M1130" t="s">
        <v>26</v>
      </c>
      <c r="N1130" t="s">
        <v>4401</v>
      </c>
      <c r="O1130" t="s">
        <v>28</v>
      </c>
      <c r="P1130" t="s">
        <v>55</v>
      </c>
      <c r="Q1130" t="s">
        <v>4402</v>
      </c>
      <c r="R1130">
        <v>163136</v>
      </c>
    </row>
    <row r="1131" spans="1:18" x14ac:dyDescent="0.3">
      <c r="A1131" t="s">
        <v>4403</v>
      </c>
      <c r="B1131" s="1">
        <v>42189</v>
      </c>
      <c r="C1131" s="1">
        <v>42192</v>
      </c>
      <c r="D1131" s="1">
        <v>42186</v>
      </c>
      <c r="E1131" t="s">
        <v>142</v>
      </c>
      <c r="F1131" t="s">
        <v>3846</v>
      </c>
      <c r="G1131" t="s">
        <v>3847</v>
      </c>
      <c r="H1131" t="s">
        <v>34</v>
      </c>
      <c r="I1131" t="s">
        <v>23</v>
      </c>
      <c r="J1131" t="s">
        <v>345</v>
      </c>
      <c r="K1131" t="s">
        <v>346</v>
      </c>
      <c r="L1131">
        <v>80013</v>
      </c>
      <c r="M1131" t="s">
        <v>37</v>
      </c>
      <c r="N1131" t="s">
        <v>4404</v>
      </c>
      <c r="O1131" t="s">
        <v>39</v>
      </c>
      <c r="P1131" t="s">
        <v>63</v>
      </c>
      <c r="Q1131" t="s">
        <v>4405</v>
      </c>
      <c r="R1131">
        <v>177536</v>
      </c>
    </row>
    <row r="1132" spans="1:18" x14ac:dyDescent="0.3">
      <c r="A1132" t="s">
        <v>4406</v>
      </c>
      <c r="B1132" s="1">
        <v>42416</v>
      </c>
      <c r="C1132" s="1">
        <v>42420</v>
      </c>
      <c r="D1132" s="1">
        <v>42401</v>
      </c>
      <c r="E1132" t="s">
        <v>43</v>
      </c>
      <c r="F1132" t="s">
        <v>770</v>
      </c>
      <c r="G1132" t="s">
        <v>771</v>
      </c>
      <c r="H1132" t="s">
        <v>34</v>
      </c>
      <c r="I1132" t="s">
        <v>23</v>
      </c>
      <c r="J1132" t="s">
        <v>192</v>
      </c>
      <c r="K1132" t="s">
        <v>1694</v>
      </c>
      <c r="L1132">
        <v>3820</v>
      </c>
      <c r="M1132" t="s">
        <v>117</v>
      </c>
      <c r="N1132" t="s">
        <v>480</v>
      </c>
      <c r="O1132" t="s">
        <v>39</v>
      </c>
      <c r="P1132" t="s">
        <v>63</v>
      </c>
      <c r="Q1132" t="s">
        <v>481</v>
      </c>
      <c r="R1132">
        <v>3588</v>
      </c>
    </row>
    <row r="1133" spans="1:18" x14ac:dyDescent="0.3">
      <c r="A1133" t="s">
        <v>4407</v>
      </c>
      <c r="B1133" s="1">
        <v>42940</v>
      </c>
      <c r="C1133" s="1">
        <v>42942</v>
      </c>
      <c r="D1133" s="1">
        <v>42917</v>
      </c>
      <c r="E1133" t="s">
        <v>19</v>
      </c>
      <c r="F1133" t="s">
        <v>3728</v>
      </c>
      <c r="G1133" t="s">
        <v>3729</v>
      </c>
      <c r="H1133" t="s">
        <v>34</v>
      </c>
      <c r="I1133" t="s">
        <v>23</v>
      </c>
      <c r="J1133" t="s">
        <v>206</v>
      </c>
      <c r="K1133" t="s">
        <v>207</v>
      </c>
      <c r="L1133">
        <v>10035</v>
      </c>
      <c r="M1133" t="s">
        <v>117</v>
      </c>
      <c r="N1133" t="s">
        <v>4408</v>
      </c>
      <c r="O1133" t="s">
        <v>28</v>
      </c>
      <c r="P1133" t="s">
        <v>119</v>
      </c>
      <c r="Q1133" t="s">
        <v>4409</v>
      </c>
      <c r="R1133">
        <v>253764</v>
      </c>
    </row>
    <row r="1134" spans="1:18" x14ac:dyDescent="0.3">
      <c r="A1134" t="s">
        <v>4410</v>
      </c>
      <c r="B1134" s="1">
        <v>42228</v>
      </c>
      <c r="C1134" s="1">
        <v>42232</v>
      </c>
      <c r="D1134" s="1">
        <v>42217</v>
      </c>
      <c r="E1134" t="s">
        <v>43</v>
      </c>
      <c r="F1134" t="s">
        <v>4411</v>
      </c>
      <c r="G1134" t="s">
        <v>4412</v>
      </c>
      <c r="H1134" t="s">
        <v>34</v>
      </c>
      <c r="I1134" t="s">
        <v>23</v>
      </c>
      <c r="J1134" t="s">
        <v>3925</v>
      </c>
      <c r="K1134" t="s">
        <v>701</v>
      </c>
      <c r="L1134">
        <v>8701</v>
      </c>
      <c r="M1134" t="s">
        <v>117</v>
      </c>
      <c r="N1134" t="s">
        <v>4413</v>
      </c>
      <c r="O1134" t="s">
        <v>39</v>
      </c>
      <c r="P1134" t="s">
        <v>71</v>
      </c>
      <c r="Q1134" t="s">
        <v>4414</v>
      </c>
      <c r="R1134">
        <v>19621</v>
      </c>
    </row>
    <row r="1135" spans="1:18" x14ac:dyDescent="0.3">
      <c r="A1135" t="s">
        <v>4415</v>
      </c>
      <c r="B1135" s="1">
        <v>42904</v>
      </c>
      <c r="C1135" s="1">
        <v>42907</v>
      </c>
      <c r="D1135" s="1">
        <v>42887</v>
      </c>
      <c r="E1135" t="s">
        <v>142</v>
      </c>
      <c r="F1135" t="s">
        <v>3051</v>
      </c>
      <c r="G1135" t="s">
        <v>3052</v>
      </c>
      <c r="H1135" t="s">
        <v>22</v>
      </c>
      <c r="I1135" t="s">
        <v>23</v>
      </c>
      <c r="J1135" t="s">
        <v>4127</v>
      </c>
      <c r="K1135" t="s">
        <v>160</v>
      </c>
      <c r="L1135">
        <v>60423</v>
      </c>
      <c r="M1135" t="s">
        <v>79</v>
      </c>
      <c r="N1135" t="s">
        <v>4416</v>
      </c>
      <c r="O1135" t="s">
        <v>39</v>
      </c>
      <c r="P1135" t="s">
        <v>63</v>
      </c>
      <c r="Q1135" t="s">
        <v>4417</v>
      </c>
      <c r="R1135">
        <v>76864</v>
      </c>
    </row>
    <row r="1136" spans="1:18" x14ac:dyDescent="0.3">
      <c r="A1136" t="s">
        <v>4418</v>
      </c>
      <c r="B1136" s="1">
        <v>42743</v>
      </c>
      <c r="C1136" s="1">
        <v>42747</v>
      </c>
      <c r="D1136" s="1">
        <v>42736</v>
      </c>
      <c r="E1136" t="s">
        <v>43</v>
      </c>
      <c r="F1136" t="s">
        <v>3649</v>
      </c>
      <c r="G1136" t="s">
        <v>3650</v>
      </c>
      <c r="H1136" t="s">
        <v>34</v>
      </c>
      <c r="I1136" t="s">
        <v>23</v>
      </c>
      <c r="J1136" t="s">
        <v>596</v>
      </c>
      <c r="K1136" t="s">
        <v>87</v>
      </c>
      <c r="L1136">
        <v>53132</v>
      </c>
      <c r="M1136" t="s">
        <v>79</v>
      </c>
      <c r="N1136" t="s">
        <v>4419</v>
      </c>
      <c r="O1136" t="s">
        <v>28</v>
      </c>
      <c r="P1136" t="s">
        <v>29</v>
      </c>
      <c r="Q1136" t="s">
        <v>4420</v>
      </c>
      <c r="R1136">
        <v>156588</v>
      </c>
    </row>
    <row r="1137" spans="1:18" x14ac:dyDescent="0.3">
      <c r="A1137" t="s">
        <v>4421</v>
      </c>
      <c r="B1137" s="1">
        <v>42720</v>
      </c>
      <c r="C1137" s="1">
        <v>42723</v>
      </c>
      <c r="D1137" s="1">
        <v>42705</v>
      </c>
      <c r="E1137" t="s">
        <v>142</v>
      </c>
      <c r="F1137" t="s">
        <v>434</v>
      </c>
      <c r="G1137" t="s">
        <v>435</v>
      </c>
      <c r="H1137" t="s">
        <v>22</v>
      </c>
      <c r="I1137" t="s">
        <v>23</v>
      </c>
      <c r="J1137" t="s">
        <v>68</v>
      </c>
      <c r="K1137" t="s">
        <v>69</v>
      </c>
      <c r="L1137">
        <v>98105</v>
      </c>
      <c r="M1137" t="s">
        <v>37</v>
      </c>
      <c r="N1137" t="s">
        <v>3966</v>
      </c>
      <c r="O1137" t="s">
        <v>39</v>
      </c>
      <c r="P1137" t="s">
        <v>63</v>
      </c>
      <c r="Q1137" t="s">
        <v>3967</v>
      </c>
      <c r="R1137">
        <v>498</v>
      </c>
    </row>
    <row r="1138" spans="1:18" x14ac:dyDescent="0.3">
      <c r="A1138" t="s">
        <v>4422</v>
      </c>
      <c r="B1138" s="1">
        <v>42294</v>
      </c>
      <c r="C1138" s="1">
        <v>42299</v>
      </c>
      <c r="D1138" s="1">
        <v>42278</v>
      </c>
      <c r="E1138" t="s">
        <v>19</v>
      </c>
      <c r="F1138" t="s">
        <v>131</v>
      </c>
      <c r="G1138" t="s">
        <v>132</v>
      </c>
      <c r="H1138" t="s">
        <v>22</v>
      </c>
      <c r="I1138" t="s">
        <v>23</v>
      </c>
      <c r="J1138" t="s">
        <v>4423</v>
      </c>
      <c r="K1138" t="s">
        <v>78</v>
      </c>
      <c r="L1138">
        <v>77705</v>
      </c>
      <c r="M1138" t="s">
        <v>79</v>
      </c>
      <c r="N1138" t="s">
        <v>4149</v>
      </c>
      <c r="O1138" t="s">
        <v>39</v>
      </c>
      <c r="P1138" t="s">
        <v>71</v>
      </c>
      <c r="Q1138" t="s">
        <v>4150</v>
      </c>
      <c r="R1138">
        <v>1078</v>
      </c>
    </row>
    <row r="1139" spans="1:18" x14ac:dyDescent="0.3">
      <c r="A1139" t="s">
        <v>4424</v>
      </c>
      <c r="B1139" s="1">
        <v>42514</v>
      </c>
      <c r="C1139" s="1">
        <v>42516</v>
      </c>
      <c r="D1139" s="1">
        <v>42491</v>
      </c>
      <c r="E1139" t="s">
        <v>19</v>
      </c>
      <c r="F1139" t="s">
        <v>3970</v>
      </c>
      <c r="G1139" t="s">
        <v>3971</v>
      </c>
      <c r="H1139" t="s">
        <v>22</v>
      </c>
      <c r="I1139" t="s">
        <v>23</v>
      </c>
      <c r="J1139" t="s">
        <v>159</v>
      </c>
      <c r="K1139" t="s">
        <v>160</v>
      </c>
      <c r="L1139">
        <v>60540</v>
      </c>
      <c r="M1139" t="s">
        <v>79</v>
      </c>
      <c r="N1139" t="s">
        <v>2244</v>
      </c>
      <c r="O1139" t="s">
        <v>28</v>
      </c>
      <c r="P1139" t="s">
        <v>119</v>
      </c>
      <c r="Q1139" t="s">
        <v>2245</v>
      </c>
      <c r="R1139">
        <v>602651</v>
      </c>
    </row>
    <row r="1140" spans="1:18" x14ac:dyDescent="0.3">
      <c r="A1140" t="s">
        <v>4425</v>
      </c>
      <c r="B1140" s="1">
        <v>43305</v>
      </c>
      <c r="C1140" s="1">
        <v>43305</v>
      </c>
      <c r="D1140" s="1">
        <v>43282</v>
      </c>
      <c r="E1140" t="s">
        <v>857</v>
      </c>
      <c r="F1140" t="s">
        <v>3257</v>
      </c>
      <c r="G1140" t="s">
        <v>3258</v>
      </c>
      <c r="H1140" t="s">
        <v>34</v>
      </c>
      <c r="I1140" t="s">
        <v>23</v>
      </c>
      <c r="J1140" t="s">
        <v>2807</v>
      </c>
      <c r="K1140" t="s">
        <v>36</v>
      </c>
      <c r="L1140">
        <v>92646</v>
      </c>
      <c r="M1140" t="s">
        <v>37</v>
      </c>
      <c r="N1140" t="s">
        <v>4426</v>
      </c>
      <c r="O1140" t="s">
        <v>147</v>
      </c>
      <c r="P1140" t="s">
        <v>1143</v>
      </c>
      <c r="Q1140" t="s">
        <v>4427</v>
      </c>
      <c r="R1140">
        <v>239996</v>
      </c>
    </row>
    <row r="1141" spans="1:18" x14ac:dyDescent="0.3">
      <c r="A1141" t="s">
        <v>4428</v>
      </c>
      <c r="B1141" s="1">
        <v>43440</v>
      </c>
      <c r="C1141" s="1">
        <v>43442</v>
      </c>
      <c r="D1141" s="1">
        <v>43435</v>
      </c>
      <c r="E1141" t="s">
        <v>19</v>
      </c>
      <c r="F1141" t="s">
        <v>4429</v>
      </c>
      <c r="G1141" t="s">
        <v>4430</v>
      </c>
      <c r="H1141" t="s">
        <v>34</v>
      </c>
      <c r="I1141" t="s">
        <v>23</v>
      </c>
      <c r="J1141" t="s">
        <v>690</v>
      </c>
      <c r="K1141" t="s">
        <v>36</v>
      </c>
      <c r="L1141">
        <v>94513</v>
      </c>
      <c r="M1141" t="s">
        <v>37</v>
      </c>
      <c r="N1141" t="s">
        <v>4431</v>
      </c>
      <c r="O1141" t="s">
        <v>39</v>
      </c>
      <c r="P1141" t="s">
        <v>89</v>
      </c>
      <c r="Q1141" t="s">
        <v>4432</v>
      </c>
      <c r="R1141">
        <v>1068</v>
      </c>
    </row>
    <row r="1142" spans="1:18" x14ac:dyDescent="0.3">
      <c r="A1142" t="s">
        <v>4433</v>
      </c>
      <c r="B1142" s="1">
        <v>42659</v>
      </c>
      <c r="C1142" s="1">
        <v>42663</v>
      </c>
      <c r="D1142" s="1">
        <v>42644</v>
      </c>
      <c r="E1142" t="s">
        <v>19</v>
      </c>
      <c r="F1142" t="s">
        <v>1462</v>
      </c>
      <c r="G1142" t="s">
        <v>1463</v>
      </c>
      <c r="H1142" t="s">
        <v>34</v>
      </c>
      <c r="I1142" t="s">
        <v>23</v>
      </c>
      <c r="J1142" t="s">
        <v>206</v>
      </c>
      <c r="K1142" t="s">
        <v>207</v>
      </c>
      <c r="L1142">
        <v>10011</v>
      </c>
      <c r="M1142" t="s">
        <v>117</v>
      </c>
      <c r="N1142" t="s">
        <v>2124</v>
      </c>
      <c r="O1142" t="s">
        <v>147</v>
      </c>
      <c r="P1142" t="s">
        <v>148</v>
      </c>
      <c r="Q1142" t="s">
        <v>2125</v>
      </c>
      <c r="R1142">
        <v>82497</v>
      </c>
    </row>
    <row r="1143" spans="1:18" x14ac:dyDescent="0.3">
      <c r="A1143" t="s">
        <v>4434</v>
      </c>
      <c r="B1143" s="1">
        <v>42549</v>
      </c>
      <c r="C1143" s="1">
        <v>42553</v>
      </c>
      <c r="D1143" s="1">
        <v>42522</v>
      </c>
      <c r="E1143" t="s">
        <v>43</v>
      </c>
      <c r="F1143" t="s">
        <v>4435</v>
      </c>
      <c r="G1143" t="s">
        <v>4436</v>
      </c>
      <c r="H1143" t="s">
        <v>34</v>
      </c>
      <c r="I1143" t="s">
        <v>23</v>
      </c>
      <c r="J1143" t="s">
        <v>231</v>
      </c>
      <c r="K1143" t="s">
        <v>232</v>
      </c>
      <c r="L1143">
        <v>85234</v>
      </c>
      <c r="M1143" t="s">
        <v>37</v>
      </c>
      <c r="N1143" t="s">
        <v>2726</v>
      </c>
      <c r="O1143" t="s">
        <v>39</v>
      </c>
      <c r="P1143" t="s">
        <v>40</v>
      </c>
      <c r="Q1143" t="s">
        <v>2727</v>
      </c>
      <c r="R1143">
        <v>5904</v>
      </c>
    </row>
    <row r="1144" spans="1:18" x14ac:dyDescent="0.3">
      <c r="A1144" t="s">
        <v>4437</v>
      </c>
      <c r="B1144" s="1">
        <v>42994</v>
      </c>
      <c r="C1144" s="1">
        <v>43000</v>
      </c>
      <c r="D1144" s="1">
        <v>42979</v>
      </c>
      <c r="E1144" t="s">
        <v>43</v>
      </c>
      <c r="F1144" t="s">
        <v>4438</v>
      </c>
      <c r="G1144" t="s">
        <v>4439</v>
      </c>
      <c r="H1144" t="s">
        <v>76</v>
      </c>
      <c r="I1144" t="s">
        <v>23</v>
      </c>
      <c r="J1144" t="s">
        <v>2452</v>
      </c>
      <c r="K1144" t="s">
        <v>36</v>
      </c>
      <c r="L1144">
        <v>92677</v>
      </c>
      <c r="M1144" t="s">
        <v>37</v>
      </c>
      <c r="N1144" t="s">
        <v>4440</v>
      </c>
      <c r="O1144" t="s">
        <v>39</v>
      </c>
      <c r="P1144" t="s">
        <v>63</v>
      </c>
      <c r="Q1144" t="s">
        <v>4441</v>
      </c>
      <c r="R1144">
        <v>1296</v>
      </c>
    </row>
    <row r="1145" spans="1:18" x14ac:dyDescent="0.3">
      <c r="A1145" t="s">
        <v>4442</v>
      </c>
      <c r="B1145" s="1">
        <v>43246</v>
      </c>
      <c r="C1145" s="1">
        <v>43249</v>
      </c>
      <c r="D1145" s="1">
        <v>43221</v>
      </c>
      <c r="E1145" t="s">
        <v>142</v>
      </c>
      <c r="F1145" t="s">
        <v>4443</v>
      </c>
      <c r="G1145" t="s">
        <v>4444</v>
      </c>
      <c r="H1145" t="s">
        <v>34</v>
      </c>
      <c r="I1145" t="s">
        <v>23</v>
      </c>
      <c r="J1145" t="s">
        <v>978</v>
      </c>
      <c r="K1145" t="s">
        <v>25</v>
      </c>
      <c r="L1145">
        <v>40214</v>
      </c>
      <c r="M1145" t="s">
        <v>26</v>
      </c>
      <c r="N1145" t="s">
        <v>4445</v>
      </c>
      <c r="O1145" t="s">
        <v>39</v>
      </c>
      <c r="P1145" t="s">
        <v>81</v>
      </c>
      <c r="Q1145" t="s">
        <v>4446</v>
      </c>
      <c r="R1145">
        <v>20844</v>
      </c>
    </row>
    <row r="1146" spans="1:18" x14ac:dyDescent="0.3">
      <c r="A1146" t="s">
        <v>4447</v>
      </c>
      <c r="B1146" s="1">
        <v>43135</v>
      </c>
      <c r="C1146" s="1">
        <v>43140</v>
      </c>
      <c r="D1146" s="1">
        <v>43132</v>
      </c>
      <c r="E1146" t="s">
        <v>43</v>
      </c>
      <c r="F1146" t="s">
        <v>3821</v>
      </c>
      <c r="G1146" t="s">
        <v>3822</v>
      </c>
      <c r="H1146" t="s">
        <v>22</v>
      </c>
      <c r="I1146" t="s">
        <v>23</v>
      </c>
      <c r="J1146" t="s">
        <v>290</v>
      </c>
      <c r="K1146" t="s">
        <v>207</v>
      </c>
      <c r="L1146">
        <v>14609</v>
      </c>
      <c r="M1146" t="s">
        <v>117</v>
      </c>
      <c r="N1146" t="s">
        <v>4239</v>
      </c>
      <c r="O1146" t="s">
        <v>39</v>
      </c>
      <c r="P1146" t="s">
        <v>81</v>
      </c>
      <c r="Q1146" t="s">
        <v>4240</v>
      </c>
      <c r="R1146">
        <v>3267</v>
      </c>
    </row>
    <row r="1147" spans="1:18" x14ac:dyDescent="0.3">
      <c r="A1147" t="s">
        <v>4448</v>
      </c>
      <c r="B1147" s="1">
        <v>42378</v>
      </c>
      <c r="C1147" s="1">
        <v>42382</v>
      </c>
      <c r="D1147" s="1">
        <v>42370</v>
      </c>
      <c r="E1147" t="s">
        <v>43</v>
      </c>
      <c r="F1147" t="s">
        <v>2674</v>
      </c>
      <c r="G1147" t="s">
        <v>2675</v>
      </c>
      <c r="H1147" t="s">
        <v>22</v>
      </c>
      <c r="I1147" t="s">
        <v>23</v>
      </c>
      <c r="J1147" t="s">
        <v>24</v>
      </c>
      <c r="K1147" t="s">
        <v>25</v>
      </c>
      <c r="L1147">
        <v>42420</v>
      </c>
      <c r="M1147" t="s">
        <v>26</v>
      </c>
      <c r="N1147" t="s">
        <v>1929</v>
      </c>
      <c r="O1147" t="s">
        <v>39</v>
      </c>
      <c r="P1147" t="s">
        <v>63</v>
      </c>
      <c r="Q1147" t="s">
        <v>140</v>
      </c>
      <c r="R1147">
        <v>10632</v>
      </c>
    </row>
    <row r="1148" spans="1:18" x14ac:dyDescent="0.3">
      <c r="A1148" t="s">
        <v>4449</v>
      </c>
      <c r="B1148" s="1">
        <v>42966</v>
      </c>
      <c r="C1148" s="1">
        <v>42967</v>
      </c>
      <c r="D1148" s="1">
        <v>42948</v>
      </c>
      <c r="E1148" t="s">
        <v>142</v>
      </c>
      <c r="F1148" t="s">
        <v>2704</v>
      </c>
      <c r="G1148" t="s">
        <v>2705</v>
      </c>
      <c r="H1148" t="s">
        <v>22</v>
      </c>
      <c r="I1148" t="s">
        <v>23</v>
      </c>
      <c r="J1148" t="s">
        <v>206</v>
      </c>
      <c r="K1148" t="s">
        <v>207</v>
      </c>
      <c r="L1148">
        <v>10009</v>
      </c>
      <c r="M1148" t="s">
        <v>117</v>
      </c>
      <c r="N1148" t="s">
        <v>3506</v>
      </c>
      <c r="O1148" t="s">
        <v>39</v>
      </c>
      <c r="P1148" t="s">
        <v>71</v>
      </c>
      <c r="Q1148" t="s">
        <v>3507</v>
      </c>
      <c r="R1148">
        <v>146688</v>
      </c>
    </row>
    <row r="1149" spans="1:18" x14ac:dyDescent="0.3">
      <c r="A1149" t="s">
        <v>4450</v>
      </c>
      <c r="B1149" s="1">
        <v>42948</v>
      </c>
      <c r="C1149" s="1">
        <v>42952</v>
      </c>
      <c r="D1149" s="1">
        <v>42948</v>
      </c>
      <c r="E1149" t="s">
        <v>19</v>
      </c>
      <c r="F1149" t="s">
        <v>4451</v>
      </c>
      <c r="G1149" t="s">
        <v>4452</v>
      </c>
      <c r="H1149" t="s">
        <v>34</v>
      </c>
      <c r="I1149" t="s">
        <v>23</v>
      </c>
      <c r="J1149" t="s">
        <v>1059</v>
      </c>
      <c r="K1149" t="s">
        <v>78</v>
      </c>
      <c r="L1149">
        <v>79109</v>
      </c>
      <c r="M1149" t="s">
        <v>79</v>
      </c>
      <c r="N1149" t="s">
        <v>139</v>
      </c>
      <c r="O1149" t="s">
        <v>39</v>
      </c>
      <c r="P1149" t="s">
        <v>63</v>
      </c>
      <c r="Q1149" t="s">
        <v>140</v>
      </c>
      <c r="R1149">
        <v>19648</v>
      </c>
    </row>
    <row r="1150" spans="1:18" x14ac:dyDescent="0.3">
      <c r="A1150" t="s">
        <v>4453</v>
      </c>
      <c r="B1150" s="1">
        <v>42286</v>
      </c>
      <c r="C1150" s="1">
        <v>42292</v>
      </c>
      <c r="D1150" s="1">
        <v>42278</v>
      </c>
      <c r="E1150" t="s">
        <v>43</v>
      </c>
      <c r="F1150" t="s">
        <v>925</v>
      </c>
      <c r="G1150" t="s">
        <v>926</v>
      </c>
      <c r="H1150" t="s">
        <v>34</v>
      </c>
      <c r="I1150" t="s">
        <v>23</v>
      </c>
      <c r="J1150" t="s">
        <v>1007</v>
      </c>
      <c r="K1150" t="s">
        <v>61</v>
      </c>
      <c r="L1150">
        <v>28540</v>
      </c>
      <c r="M1150" t="s">
        <v>26</v>
      </c>
      <c r="N1150" t="s">
        <v>1441</v>
      </c>
      <c r="O1150" t="s">
        <v>39</v>
      </c>
      <c r="P1150" t="s">
        <v>63</v>
      </c>
      <c r="Q1150" t="s">
        <v>1442</v>
      </c>
      <c r="R1150">
        <v>88768</v>
      </c>
    </row>
    <row r="1151" spans="1:18" x14ac:dyDescent="0.3">
      <c r="A1151" t="s">
        <v>4454</v>
      </c>
      <c r="B1151" s="1">
        <v>42503</v>
      </c>
      <c r="C1151" s="1">
        <v>42508</v>
      </c>
      <c r="D1151" s="1">
        <v>42491</v>
      </c>
      <c r="E1151" t="s">
        <v>19</v>
      </c>
      <c r="F1151" t="s">
        <v>3308</v>
      </c>
      <c r="G1151" t="s">
        <v>3309</v>
      </c>
      <c r="H1151" t="s">
        <v>76</v>
      </c>
      <c r="I1151" t="s">
        <v>23</v>
      </c>
      <c r="J1151" t="s">
        <v>225</v>
      </c>
      <c r="K1151" t="s">
        <v>160</v>
      </c>
      <c r="L1151">
        <v>60623</v>
      </c>
      <c r="M1151" t="s">
        <v>79</v>
      </c>
      <c r="N1151" t="s">
        <v>4226</v>
      </c>
      <c r="O1151" t="s">
        <v>147</v>
      </c>
      <c r="P1151" t="s">
        <v>148</v>
      </c>
      <c r="Q1151" t="s">
        <v>4227</v>
      </c>
      <c r="R1151">
        <v>222384</v>
      </c>
    </row>
    <row r="1152" spans="1:18" x14ac:dyDescent="0.3">
      <c r="A1152" t="s">
        <v>4455</v>
      </c>
      <c r="B1152" s="1">
        <v>42116</v>
      </c>
      <c r="C1152" s="1">
        <v>42118</v>
      </c>
      <c r="D1152" s="1">
        <v>42095</v>
      </c>
      <c r="E1152" t="s">
        <v>19</v>
      </c>
      <c r="F1152" t="s">
        <v>4287</v>
      </c>
      <c r="G1152" t="s">
        <v>4288</v>
      </c>
      <c r="H1152" t="s">
        <v>34</v>
      </c>
      <c r="I1152" t="s">
        <v>23</v>
      </c>
      <c r="J1152" t="s">
        <v>214</v>
      </c>
      <c r="K1152" t="s">
        <v>207</v>
      </c>
      <c r="L1152">
        <v>12180</v>
      </c>
      <c r="M1152" t="s">
        <v>117</v>
      </c>
      <c r="N1152" t="s">
        <v>4456</v>
      </c>
      <c r="O1152" t="s">
        <v>39</v>
      </c>
      <c r="P1152" t="s">
        <v>154</v>
      </c>
      <c r="Q1152" t="s">
        <v>493</v>
      </c>
      <c r="R1152">
        <v>24784</v>
      </c>
    </row>
    <row r="1153" spans="1:18" x14ac:dyDescent="0.3">
      <c r="A1153" t="s">
        <v>4457</v>
      </c>
      <c r="B1153" s="1">
        <v>42778</v>
      </c>
      <c r="C1153" s="1">
        <v>42780</v>
      </c>
      <c r="D1153" s="1">
        <v>42767</v>
      </c>
      <c r="E1153" t="s">
        <v>142</v>
      </c>
      <c r="F1153" t="s">
        <v>1907</v>
      </c>
      <c r="G1153" t="s">
        <v>1908</v>
      </c>
      <c r="H1153" t="s">
        <v>22</v>
      </c>
      <c r="I1153" t="s">
        <v>23</v>
      </c>
      <c r="J1153" t="s">
        <v>1124</v>
      </c>
      <c r="K1153" t="s">
        <v>845</v>
      </c>
      <c r="L1153">
        <v>30318</v>
      </c>
      <c r="M1153" t="s">
        <v>26</v>
      </c>
      <c r="N1153" t="s">
        <v>4458</v>
      </c>
      <c r="O1153" t="s">
        <v>39</v>
      </c>
      <c r="P1153" t="s">
        <v>89</v>
      </c>
      <c r="Q1153" t="s">
        <v>4459</v>
      </c>
      <c r="R1153">
        <v>135012</v>
      </c>
    </row>
    <row r="1154" spans="1:18" x14ac:dyDescent="0.3">
      <c r="A1154" t="s">
        <v>4460</v>
      </c>
      <c r="B1154" s="1">
        <v>43109</v>
      </c>
      <c r="C1154" s="1">
        <v>43113</v>
      </c>
      <c r="D1154" s="1">
        <v>43101</v>
      </c>
      <c r="E1154" t="s">
        <v>43</v>
      </c>
      <c r="F1154" t="s">
        <v>2241</v>
      </c>
      <c r="G1154" t="s">
        <v>2242</v>
      </c>
      <c r="H1154" t="s">
        <v>22</v>
      </c>
      <c r="I1154" t="s">
        <v>23</v>
      </c>
      <c r="J1154" t="s">
        <v>115</v>
      </c>
      <c r="K1154" t="s">
        <v>116</v>
      </c>
      <c r="L1154">
        <v>19140</v>
      </c>
      <c r="M1154" t="s">
        <v>117</v>
      </c>
      <c r="N1154" t="s">
        <v>2812</v>
      </c>
      <c r="O1154" t="s">
        <v>39</v>
      </c>
      <c r="P1154" t="s">
        <v>71</v>
      </c>
      <c r="Q1154" t="s">
        <v>2813</v>
      </c>
      <c r="R1154">
        <v>274491</v>
      </c>
    </row>
    <row r="1155" spans="1:18" x14ac:dyDescent="0.3">
      <c r="A1155" t="s">
        <v>4461</v>
      </c>
      <c r="B1155" s="1">
        <v>43328</v>
      </c>
      <c r="C1155" s="1">
        <v>43328</v>
      </c>
      <c r="D1155" s="1">
        <v>43313</v>
      </c>
      <c r="E1155" t="s">
        <v>857</v>
      </c>
      <c r="F1155" t="s">
        <v>3905</v>
      </c>
      <c r="G1155" t="s">
        <v>3906</v>
      </c>
      <c r="H1155" t="s">
        <v>22</v>
      </c>
      <c r="I1155" t="s">
        <v>23</v>
      </c>
      <c r="J1155" t="s">
        <v>283</v>
      </c>
      <c r="K1155" t="s">
        <v>255</v>
      </c>
      <c r="L1155">
        <v>38401</v>
      </c>
      <c r="M1155" t="s">
        <v>26</v>
      </c>
      <c r="N1155" t="s">
        <v>4392</v>
      </c>
      <c r="O1155" t="s">
        <v>39</v>
      </c>
      <c r="P1155" t="s">
        <v>71</v>
      </c>
      <c r="Q1155" t="s">
        <v>4393</v>
      </c>
      <c r="R1155">
        <v>13428</v>
      </c>
    </row>
    <row r="1156" spans="1:18" x14ac:dyDescent="0.3">
      <c r="A1156" t="s">
        <v>4462</v>
      </c>
      <c r="B1156" s="1">
        <v>42749</v>
      </c>
      <c r="C1156" s="1">
        <v>42755</v>
      </c>
      <c r="D1156" s="1">
        <v>42736</v>
      </c>
      <c r="E1156" t="s">
        <v>43</v>
      </c>
      <c r="F1156" t="s">
        <v>945</v>
      </c>
      <c r="G1156" t="s">
        <v>946</v>
      </c>
      <c r="H1156" t="s">
        <v>22</v>
      </c>
      <c r="I1156" t="s">
        <v>23</v>
      </c>
      <c r="J1156" t="s">
        <v>60</v>
      </c>
      <c r="K1156" t="s">
        <v>61</v>
      </c>
      <c r="L1156">
        <v>28027</v>
      </c>
      <c r="M1156" t="s">
        <v>26</v>
      </c>
      <c r="N1156" t="s">
        <v>4463</v>
      </c>
      <c r="O1156" t="s">
        <v>39</v>
      </c>
      <c r="P1156" t="s">
        <v>63</v>
      </c>
      <c r="Q1156" t="s">
        <v>4464</v>
      </c>
      <c r="R1156">
        <v>89568</v>
      </c>
    </row>
    <row r="1157" spans="1:18" x14ac:dyDescent="0.3">
      <c r="A1157" t="s">
        <v>4465</v>
      </c>
      <c r="B1157" s="1">
        <v>43018</v>
      </c>
      <c r="C1157" s="1">
        <v>43022</v>
      </c>
      <c r="D1157" s="1">
        <v>43009</v>
      </c>
      <c r="E1157" t="s">
        <v>43</v>
      </c>
      <c r="F1157" t="s">
        <v>3447</v>
      </c>
      <c r="G1157" t="s">
        <v>3448</v>
      </c>
      <c r="H1157" t="s">
        <v>34</v>
      </c>
      <c r="I1157" t="s">
        <v>23</v>
      </c>
      <c r="J1157" t="s">
        <v>2676</v>
      </c>
      <c r="K1157" t="s">
        <v>61</v>
      </c>
      <c r="L1157">
        <v>27405</v>
      </c>
      <c r="M1157" t="s">
        <v>26</v>
      </c>
      <c r="N1157" t="s">
        <v>1263</v>
      </c>
      <c r="O1157" t="s">
        <v>39</v>
      </c>
      <c r="P1157" t="s">
        <v>1264</v>
      </c>
      <c r="Q1157" t="s">
        <v>1265</v>
      </c>
      <c r="R1157">
        <v>20608</v>
      </c>
    </row>
    <row r="1158" spans="1:18" x14ac:dyDescent="0.3">
      <c r="A1158" t="s">
        <v>4466</v>
      </c>
      <c r="B1158" s="1">
        <v>42758</v>
      </c>
      <c r="C1158" s="1">
        <v>42764</v>
      </c>
      <c r="D1158" s="1">
        <v>42736</v>
      </c>
      <c r="E1158" t="s">
        <v>43</v>
      </c>
      <c r="F1158" t="s">
        <v>2884</v>
      </c>
      <c r="G1158" t="s">
        <v>2885</v>
      </c>
      <c r="H1158" t="s">
        <v>22</v>
      </c>
      <c r="I1158" t="s">
        <v>23</v>
      </c>
      <c r="J1158" t="s">
        <v>35</v>
      </c>
      <c r="K1158" t="s">
        <v>36</v>
      </c>
      <c r="L1158">
        <v>90036</v>
      </c>
      <c r="M1158" t="s">
        <v>37</v>
      </c>
      <c r="N1158" t="s">
        <v>4467</v>
      </c>
      <c r="O1158" t="s">
        <v>28</v>
      </c>
      <c r="P1158" t="s">
        <v>55</v>
      </c>
      <c r="Q1158" t="s">
        <v>4468</v>
      </c>
      <c r="R1158">
        <v>5999</v>
      </c>
    </row>
    <row r="1159" spans="1:18" x14ac:dyDescent="0.3">
      <c r="A1159" t="s">
        <v>4469</v>
      </c>
      <c r="B1159" s="1">
        <v>42410</v>
      </c>
      <c r="C1159" s="1">
        <v>42414</v>
      </c>
      <c r="D1159" s="1">
        <v>42401</v>
      </c>
      <c r="E1159" t="s">
        <v>19</v>
      </c>
      <c r="F1159" t="s">
        <v>1300</v>
      </c>
      <c r="G1159" t="s">
        <v>1301</v>
      </c>
      <c r="H1159" t="s">
        <v>34</v>
      </c>
      <c r="I1159" t="s">
        <v>23</v>
      </c>
      <c r="J1159" t="s">
        <v>115</v>
      </c>
      <c r="K1159" t="s">
        <v>116</v>
      </c>
      <c r="L1159">
        <v>19143</v>
      </c>
      <c r="M1159" t="s">
        <v>117</v>
      </c>
      <c r="N1159" t="s">
        <v>4470</v>
      </c>
      <c r="O1159" t="s">
        <v>39</v>
      </c>
      <c r="P1159" t="s">
        <v>89</v>
      </c>
      <c r="Q1159" t="s">
        <v>4471</v>
      </c>
      <c r="R1159">
        <v>7724</v>
      </c>
    </row>
    <row r="1160" spans="1:18" x14ac:dyDescent="0.3">
      <c r="A1160" t="s">
        <v>4472</v>
      </c>
      <c r="B1160" s="1">
        <v>42092</v>
      </c>
      <c r="C1160" s="1">
        <v>42096</v>
      </c>
      <c r="D1160" s="1">
        <v>42064</v>
      </c>
      <c r="E1160" t="s">
        <v>43</v>
      </c>
      <c r="F1160" t="s">
        <v>3877</v>
      </c>
      <c r="G1160" t="s">
        <v>3878</v>
      </c>
      <c r="H1160" t="s">
        <v>22</v>
      </c>
      <c r="I1160" t="s">
        <v>23</v>
      </c>
      <c r="J1160" t="s">
        <v>3690</v>
      </c>
      <c r="K1160" t="s">
        <v>78</v>
      </c>
      <c r="L1160">
        <v>75023</v>
      </c>
      <c r="M1160" t="s">
        <v>79</v>
      </c>
      <c r="N1160" t="s">
        <v>2585</v>
      </c>
      <c r="O1160" t="s">
        <v>28</v>
      </c>
      <c r="P1160" t="s">
        <v>49</v>
      </c>
      <c r="Q1160" t="s">
        <v>2586</v>
      </c>
      <c r="R1160">
        <v>890841</v>
      </c>
    </row>
    <row r="1161" spans="1:18" x14ac:dyDescent="0.3">
      <c r="A1161" t="s">
        <v>4473</v>
      </c>
      <c r="B1161" s="1">
        <v>43024</v>
      </c>
      <c r="C1161" s="1">
        <v>43028</v>
      </c>
      <c r="D1161" s="1">
        <v>43009</v>
      </c>
      <c r="E1161" t="s">
        <v>43</v>
      </c>
      <c r="F1161" t="s">
        <v>1300</v>
      </c>
      <c r="G1161" t="s">
        <v>1301</v>
      </c>
      <c r="H1161" t="s">
        <v>34</v>
      </c>
      <c r="I1161" t="s">
        <v>23</v>
      </c>
      <c r="J1161" t="s">
        <v>206</v>
      </c>
      <c r="K1161" t="s">
        <v>207</v>
      </c>
      <c r="L1161">
        <v>10011</v>
      </c>
      <c r="M1161" t="s">
        <v>117</v>
      </c>
      <c r="N1161" t="s">
        <v>1032</v>
      </c>
      <c r="O1161" t="s">
        <v>28</v>
      </c>
      <c r="P1161" t="s">
        <v>49</v>
      </c>
      <c r="Q1161" t="s">
        <v>1033</v>
      </c>
      <c r="R1161">
        <v>142182</v>
      </c>
    </row>
    <row r="1162" spans="1:18" x14ac:dyDescent="0.3">
      <c r="A1162" t="s">
        <v>4474</v>
      </c>
      <c r="B1162" s="1">
        <v>42991</v>
      </c>
      <c r="C1162" s="1">
        <v>42996</v>
      </c>
      <c r="D1162" s="1">
        <v>42979</v>
      </c>
      <c r="E1162" t="s">
        <v>43</v>
      </c>
      <c r="F1162" t="s">
        <v>92</v>
      </c>
      <c r="G1162" t="s">
        <v>93</v>
      </c>
      <c r="H1162" t="s">
        <v>22</v>
      </c>
      <c r="I1162" t="s">
        <v>23</v>
      </c>
      <c r="J1162" t="s">
        <v>1602</v>
      </c>
      <c r="K1162" t="s">
        <v>109</v>
      </c>
      <c r="L1162">
        <v>68104</v>
      </c>
      <c r="M1162" t="s">
        <v>79</v>
      </c>
      <c r="N1162" t="s">
        <v>2459</v>
      </c>
      <c r="O1162" t="s">
        <v>39</v>
      </c>
      <c r="P1162" t="s">
        <v>89</v>
      </c>
      <c r="Q1162" t="s">
        <v>2460</v>
      </c>
      <c r="R1162">
        <v>4074</v>
      </c>
    </row>
    <row r="1163" spans="1:18" x14ac:dyDescent="0.3">
      <c r="A1163" t="s">
        <v>4475</v>
      </c>
      <c r="B1163" s="1">
        <v>43433</v>
      </c>
      <c r="C1163" s="1">
        <v>43437</v>
      </c>
      <c r="D1163" s="1">
        <v>43405</v>
      </c>
      <c r="E1163" t="s">
        <v>43</v>
      </c>
      <c r="F1163" t="s">
        <v>478</v>
      </c>
      <c r="G1163" t="s">
        <v>479</v>
      </c>
      <c r="H1163" t="s">
        <v>22</v>
      </c>
      <c r="I1163" t="s">
        <v>23</v>
      </c>
      <c r="J1163" t="s">
        <v>4235</v>
      </c>
      <c r="K1163" t="s">
        <v>255</v>
      </c>
      <c r="L1163">
        <v>37421</v>
      </c>
      <c r="M1163" t="s">
        <v>26</v>
      </c>
      <c r="N1163" t="s">
        <v>4476</v>
      </c>
      <c r="O1163" t="s">
        <v>28</v>
      </c>
      <c r="P1163" t="s">
        <v>119</v>
      </c>
      <c r="Q1163" t="s">
        <v>4477</v>
      </c>
      <c r="R1163">
        <v>390368</v>
      </c>
    </row>
    <row r="1164" spans="1:18" x14ac:dyDescent="0.3">
      <c r="A1164" t="s">
        <v>4478</v>
      </c>
      <c r="B1164" s="1">
        <v>42050</v>
      </c>
      <c r="C1164" s="1">
        <v>42054</v>
      </c>
      <c r="D1164" s="1">
        <v>42036</v>
      </c>
      <c r="E1164" t="s">
        <v>43</v>
      </c>
      <c r="F1164" t="s">
        <v>4122</v>
      </c>
      <c r="G1164" t="s">
        <v>4123</v>
      </c>
      <c r="H1164" t="s">
        <v>34</v>
      </c>
      <c r="I1164" t="s">
        <v>23</v>
      </c>
      <c r="J1164" t="s">
        <v>68</v>
      </c>
      <c r="K1164" t="s">
        <v>69</v>
      </c>
      <c r="L1164">
        <v>98105</v>
      </c>
      <c r="M1164" t="s">
        <v>37</v>
      </c>
      <c r="N1164" t="s">
        <v>4479</v>
      </c>
      <c r="O1164" t="s">
        <v>39</v>
      </c>
      <c r="P1164" t="s">
        <v>71</v>
      </c>
      <c r="Q1164" t="s">
        <v>4480</v>
      </c>
      <c r="R1164">
        <v>2136</v>
      </c>
    </row>
    <row r="1165" spans="1:18" x14ac:dyDescent="0.3">
      <c r="A1165" t="s">
        <v>4481</v>
      </c>
      <c r="B1165" s="1">
        <v>43295</v>
      </c>
      <c r="C1165" s="1">
        <v>43299</v>
      </c>
      <c r="D1165" s="1">
        <v>43282</v>
      </c>
      <c r="E1165" t="s">
        <v>43</v>
      </c>
      <c r="F1165" t="s">
        <v>4482</v>
      </c>
      <c r="G1165" t="s">
        <v>4483</v>
      </c>
      <c r="H1165" t="s">
        <v>22</v>
      </c>
      <c r="I1165" t="s">
        <v>23</v>
      </c>
      <c r="J1165" t="s">
        <v>4484</v>
      </c>
      <c r="K1165" t="s">
        <v>36</v>
      </c>
      <c r="L1165">
        <v>92683</v>
      </c>
      <c r="M1165" t="s">
        <v>37</v>
      </c>
      <c r="N1165" t="s">
        <v>1863</v>
      </c>
      <c r="O1165" t="s">
        <v>39</v>
      </c>
      <c r="P1165" t="s">
        <v>71</v>
      </c>
      <c r="Q1165" t="s">
        <v>1864</v>
      </c>
      <c r="R1165">
        <v>4448</v>
      </c>
    </row>
    <row r="1166" spans="1:18" x14ac:dyDescent="0.3">
      <c r="A1166" t="s">
        <v>4485</v>
      </c>
      <c r="B1166" s="1">
        <v>42328</v>
      </c>
      <c r="C1166" s="1">
        <v>42333</v>
      </c>
      <c r="D1166" s="1">
        <v>42309</v>
      </c>
      <c r="E1166" t="s">
        <v>43</v>
      </c>
      <c r="F1166" t="s">
        <v>3453</v>
      </c>
      <c r="G1166" t="s">
        <v>3454</v>
      </c>
      <c r="H1166" t="s">
        <v>34</v>
      </c>
      <c r="I1166" t="s">
        <v>23</v>
      </c>
      <c r="J1166" t="s">
        <v>206</v>
      </c>
      <c r="K1166" t="s">
        <v>207</v>
      </c>
      <c r="L1166">
        <v>10024</v>
      </c>
      <c r="M1166" t="s">
        <v>117</v>
      </c>
      <c r="N1166" t="s">
        <v>4486</v>
      </c>
      <c r="O1166" t="s">
        <v>39</v>
      </c>
      <c r="P1166" t="s">
        <v>154</v>
      </c>
      <c r="Q1166" t="s">
        <v>4105</v>
      </c>
      <c r="R1166">
        <v>3474</v>
      </c>
    </row>
    <row r="1167" spans="1:18" x14ac:dyDescent="0.3">
      <c r="A1167" t="s">
        <v>4487</v>
      </c>
      <c r="B1167" s="1">
        <v>42057</v>
      </c>
      <c r="C1167" s="1">
        <v>42059</v>
      </c>
      <c r="D1167" s="1">
        <v>42036</v>
      </c>
      <c r="E1167" t="s">
        <v>142</v>
      </c>
      <c r="F1167" t="s">
        <v>1097</v>
      </c>
      <c r="G1167" t="s">
        <v>1098</v>
      </c>
      <c r="H1167" t="s">
        <v>22</v>
      </c>
      <c r="I1167" t="s">
        <v>23</v>
      </c>
      <c r="J1167" t="s">
        <v>4077</v>
      </c>
      <c r="K1167" t="s">
        <v>36</v>
      </c>
      <c r="L1167">
        <v>92553</v>
      </c>
      <c r="M1167" t="s">
        <v>37</v>
      </c>
      <c r="N1167" t="s">
        <v>4488</v>
      </c>
      <c r="O1167" t="s">
        <v>39</v>
      </c>
      <c r="P1167" t="s">
        <v>63</v>
      </c>
      <c r="Q1167" t="s">
        <v>4489</v>
      </c>
      <c r="R1167">
        <v>1944</v>
      </c>
    </row>
    <row r="1168" spans="1:18" x14ac:dyDescent="0.3">
      <c r="A1168" t="s">
        <v>4490</v>
      </c>
      <c r="B1168" s="1">
        <v>42109</v>
      </c>
      <c r="C1168" s="1">
        <v>42109</v>
      </c>
      <c r="D1168" s="1">
        <v>42095</v>
      </c>
      <c r="E1168" t="s">
        <v>857</v>
      </c>
      <c r="F1168" t="s">
        <v>223</v>
      </c>
      <c r="G1168" t="s">
        <v>224</v>
      </c>
      <c r="H1168" t="s">
        <v>76</v>
      </c>
      <c r="I1168" t="s">
        <v>23</v>
      </c>
      <c r="J1168" t="s">
        <v>35</v>
      </c>
      <c r="K1168" t="s">
        <v>36</v>
      </c>
      <c r="L1168">
        <v>90049</v>
      </c>
      <c r="M1168" t="s">
        <v>37</v>
      </c>
      <c r="N1168" t="s">
        <v>2881</v>
      </c>
      <c r="O1168" t="s">
        <v>39</v>
      </c>
      <c r="P1168" t="s">
        <v>81</v>
      </c>
      <c r="Q1168" t="s">
        <v>2882</v>
      </c>
      <c r="R1168">
        <v>10696</v>
      </c>
    </row>
    <row r="1169" spans="1:18" x14ac:dyDescent="0.3">
      <c r="A1169" t="s">
        <v>4491</v>
      </c>
      <c r="B1169" s="1">
        <v>42011</v>
      </c>
      <c r="C1169" s="1">
        <v>42016</v>
      </c>
      <c r="D1169" s="1">
        <v>42005</v>
      </c>
      <c r="E1169" t="s">
        <v>43</v>
      </c>
      <c r="F1169" t="s">
        <v>3970</v>
      </c>
      <c r="G1169" t="s">
        <v>3971</v>
      </c>
      <c r="H1169" t="s">
        <v>22</v>
      </c>
      <c r="I1169" t="s">
        <v>23</v>
      </c>
      <c r="J1169" t="s">
        <v>3152</v>
      </c>
      <c r="K1169" t="s">
        <v>78</v>
      </c>
      <c r="L1169">
        <v>77340</v>
      </c>
      <c r="M1169" t="s">
        <v>79</v>
      </c>
      <c r="N1169" t="s">
        <v>4492</v>
      </c>
      <c r="O1169" t="s">
        <v>28</v>
      </c>
      <c r="P1169" t="s">
        <v>55</v>
      </c>
      <c r="Q1169" t="s">
        <v>4493</v>
      </c>
      <c r="R1169">
        <v>76728</v>
      </c>
    </row>
    <row r="1170" spans="1:18" x14ac:dyDescent="0.3">
      <c r="A1170" t="s">
        <v>4494</v>
      </c>
      <c r="B1170" s="1">
        <v>43356</v>
      </c>
      <c r="C1170" s="1">
        <v>43362</v>
      </c>
      <c r="D1170" s="1">
        <v>43344</v>
      </c>
      <c r="E1170" t="s">
        <v>43</v>
      </c>
      <c r="F1170" t="s">
        <v>4495</v>
      </c>
      <c r="G1170" t="s">
        <v>4496</v>
      </c>
      <c r="H1170" t="s">
        <v>22</v>
      </c>
      <c r="I1170" t="s">
        <v>23</v>
      </c>
      <c r="J1170" t="s">
        <v>4497</v>
      </c>
      <c r="K1170" t="s">
        <v>61</v>
      </c>
      <c r="L1170">
        <v>28806</v>
      </c>
      <c r="M1170" t="s">
        <v>26</v>
      </c>
      <c r="N1170" t="s">
        <v>4498</v>
      </c>
      <c r="O1170" t="s">
        <v>39</v>
      </c>
      <c r="P1170" t="s">
        <v>103</v>
      </c>
      <c r="Q1170" t="s">
        <v>4499</v>
      </c>
      <c r="R1170">
        <v>1592</v>
      </c>
    </row>
    <row r="1171" spans="1:18" x14ac:dyDescent="0.3">
      <c r="A1171" t="s">
        <v>4500</v>
      </c>
      <c r="B1171" s="1">
        <v>42285</v>
      </c>
      <c r="C1171" s="1">
        <v>42285</v>
      </c>
      <c r="D1171" s="1">
        <v>42278</v>
      </c>
      <c r="E1171" t="s">
        <v>857</v>
      </c>
      <c r="F1171" t="s">
        <v>919</v>
      </c>
      <c r="G1171" t="s">
        <v>920</v>
      </c>
      <c r="H1171" t="s">
        <v>22</v>
      </c>
      <c r="I1171" t="s">
        <v>23</v>
      </c>
      <c r="J1171" t="s">
        <v>352</v>
      </c>
      <c r="K1171" t="s">
        <v>61</v>
      </c>
      <c r="L1171">
        <v>28205</v>
      </c>
      <c r="M1171" t="s">
        <v>26</v>
      </c>
      <c r="N1171" t="s">
        <v>3833</v>
      </c>
      <c r="O1171" t="s">
        <v>147</v>
      </c>
      <c r="P1171" t="s">
        <v>180</v>
      </c>
      <c r="Q1171" t="s">
        <v>3834</v>
      </c>
      <c r="R1171">
        <v>23472</v>
      </c>
    </row>
    <row r="1172" spans="1:18" x14ac:dyDescent="0.3">
      <c r="A1172" t="s">
        <v>4501</v>
      </c>
      <c r="B1172" s="1">
        <v>43283</v>
      </c>
      <c r="C1172" s="1">
        <v>43286</v>
      </c>
      <c r="D1172" s="1">
        <v>43282</v>
      </c>
      <c r="E1172" t="s">
        <v>142</v>
      </c>
      <c r="F1172" t="s">
        <v>2969</v>
      </c>
      <c r="G1172" t="s">
        <v>2970</v>
      </c>
      <c r="H1172" t="s">
        <v>76</v>
      </c>
      <c r="I1172" t="s">
        <v>23</v>
      </c>
      <c r="J1172" t="s">
        <v>138</v>
      </c>
      <c r="K1172" t="s">
        <v>78</v>
      </c>
      <c r="L1172">
        <v>77036</v>
      </c>
      <c r="M1172" t="s">
        <v>79</v>
      </c>
      <c r="N1172" t="s">
        <v>2512</v>
      </c>
      <c r="O1172" t="s">
        <v>39</v>
      </c>
      <c r="P1172" t="s">
        <v>63</v>
      </c>
      <c r="Q1172" t="s">
        <v>2513</v>
      </c>
      <c r="R1172">
        <v>16396</v>
      </c>
    </row>
    <row r="1173" spans="1:18" x14ac:dyDescent="0.3">
      <c r="A1173" t="s">
        <v>4502</v>
      </c>
      <c r="B1173" s="1">
        <v>42375</v>
      </c>
      <c r="C1173" s="1">
        <v>42381</v>
      </c>
      <c r="D1173" s="1">
        <v>42370</v>
      </c>
      <c r="E1173" t="s">
        <v>43</v>
      </c>
      <c r="F1173" t="s">
        <v>2104</v>
      </c>
      <c r="G1173" t="s">
        <v>2105</v>
      </c>
      <c r="H1173" t="s">
        <v>34</v>
      </c>
      <c r="I1173" t="s">
        <v>23</v>
      </c>
      <c r="J1173" t="s">
        <v>4503</v>
      </c>
      <c r="K1173" t="s">
        <v>346</v>
      </c>
      <c r="L1173">
        <v>80906</v>
      </c>
      <c r="M1173" t="s">
        <v>37</v>
      </c>
      <c r="N1173" t="s">
        <v>4504</v>
      </c>
      <c r="O1173" t="s">
        <v>39</v>
      </c>
      <c r="P1173" t="s">
        <v>63</v>
      </c>
      <c r="Q1173" t="s">
        <v>4505</v>
      </c>
      <c r="R1173">
        <v>296</v>
      </c>
    </row>
    <row r="1174" spans="1:18" x14ac:dyDescent="0.3">
      <c r="A1174" t="s">
        <v>4506</v>
      </c>
      <c r="B1174" s="1">
        <v>42838</v>
      </c>
      <c r="C1174" s="1">
        <v>42840</v>
      </c>
      <c r="D1174" s="1">
        <v>42826</v>
      </c>
      <c r="E1174" t="s">
        <v>142</v>
      </c>
      <c r="F1174" t="s">
        <v>4507</v>
      </c>
      <c r="G1174" t="s">
        <v>4508</v>
      </c>
      <c r="H1174" t="s">
        <v>22</v>
      </c>
      <c r="I1174" t="s">
        <v>23</v>
      </c>
      <c r="J1174" t="s">
        <v>101</v>
      </c>
      <c r="K1174" t="s">
        <v>36</v>
      </c>
      <c r="L1174">
        <v>94109</v>
      </c>
      <c r="M1174" t="s">
        <v>37</v>
      </c>
      <c r="N1174" t="s">
        <v>562</v>
      </c>
      <c r="O1174" t="s">
        <v>39</v>
      </c>
      <c r="P1174" t="s">
        <v>154</v>
      </c>
      <c r="Q1174" t="s">
        <v>563</v>
      </c>
      <c r="R1174">
        <v>612</v>
      </c>
    </row>
    <row r="1175" spans="1:18" x14ac:dyDescent="0.3">
      <c r="A1175" t="s">
        <v>4509</v>
      </c>
      <c r="B1175" s="1">
        <v>42780</v>
      </c>
      <c r="C1175" s="1">
        <v>42781</v>
      </c>
      <c r="D1175" s="1">
        <v>42767</v>
      </c>
      <c r="E1175" t="s">
        <v>142</v>
      </c>
      <c r="F1175" t="s">
        <v>381</v>
      </c>
      <c r="G1175" t="s">
        <v>382</v>
      </c>
      <c r="H1175" t="s">
        <v>22</v>
      </c>
      <c r="I1175" t="s">
        <v>23</v>
      </c>
      <c r="J1175" t="s">
        <v>2271</v>
      </c>
      <c r="K1175" t="s">
        <v>1743</v>
      </c>
      <c r="L1175">
        <v>20735</v>
      </c>
      <c r="M1175" t="s">
        <v>117</v>
      </c>
      <c r="N1175" t="s">
        <v>3441</v>
      </c>
      <c r="O1175" t="s">
        <v>39</v>
      </c>
      <c r="P1175" t="s">
        <v>63</v>
      </c>
      <c r="Q1175" t="s">
        <v>3442</v>
      </c>
      <c r="R1175">
        <v>477</v>
      </c>
    </row>
    <row r="1176" spans="1:18" x14ac:dyDescent="0.3">
      <c r="A1176" t="s">
        <v>4510</v>
      </c>
      <c r="B1176" s="1">
        <v>42140</v>
      </c>
      <c r="C1176" s="1">
        <v>42147</v>
      </c>
      <c r="D1176" s="1">
        <v>42125</v>
      </c>
      <c r="E1176" t="s">
        <v>43</v>
      </c>
      <c r="F1176" t="s">
        <v>2337</v>
      </c>
      <c r="G1176" t="s">
        <v>2338</v>
      </c>
      <c r="H1176" t="s">
        <v>34</v>
      </c>
      <c r="I1176" t="s">
        <v>23</v>
      </c>
      <c r="J1176" t="s">
        <v>35</v>
      </c>
      <c r="K1176" t="s">
        <v>36</v>
      </c>
      <c r="L1176">
        <v>90036</v>
      </c>
      <c r="M1176" t="s">
        <v>37</v>
      </c>
      <c r="N1176" t="s">
        <v>3177</v>
      </c>
      <c r="O1176" t="s">
        <v>28</v>
      </c>
      <c r="P1176" t="s">
        <v>119</v>
      </c>
      <c r="Q1176" t="s">
        <v>3178</v>
      </c>
      <c r="R1176">
        <v>23288</v>
      </c>
    </row>
    <row r="1177" spans="1:18" x14ac:dyDescent="0.3">
      <c r="A1177" t="s">
        <v>4511</v>
      </c>
      <c r="B1177" s="1">
        <v>42393</v>
      </c>
      <c r="C1177" s="1">
        <v>42397</v>
      </c>
      <c r="D1177" s="1">
        <v>42370</v>
      </c>
      <c r="E1177" t="s">
        <v>43</v>
      </c>
      <c r="F1177" t="s">
        <v>4512</v>
      </c>
      <c r="G1177" t="s">
        <v>4513</v>
      </c>
      <c r="H1177" t="s">
        <v>76</v>
      </c>
      <c r="I1177" t="s">
        <v>23</v>
      </c>
      <c r="J1177" t="s">
        <v>4514</v>
      </c>
      <c r="K1177" t="s">
        <v>47</v>
      </c>
      <c r="L1177">
        <v>33407</v>
      </c>
      <c r="M1177" t="s">
        <v>26</v>
      </c>
      <c r="N1177" t="s">
        <v>911</v>
      </c>
      <c r="O1177" t="s">
        <v>39</v>
      </c>
      <c r="P1177" t="s">
        <v>103</v>
      </c>
      <c r="Q1177" t="s">
        <v>912</v>
      </c>
      <c r="R1177">
        <v>1312</v>
      </c>
    </row>
    <row r="1178" spans="1:18" x14ac:dyDescent="0.3">
      <c r="A1178" t="s">
        <v>4515</v>
      </c>
      <c r="B1178" s="1">
        <v>42091</v>
      </c>
      <c r="C1178" s="1">
        <v>42096</v>
      </c>
      <c r="D1178" s="1">
        <v>42064</v>
      </c>
      <c r="E1178" t="s">
        <v>43</v>
      </c>
      <c r="F1178" t="s">
        <v>4516</v>
      </c>
      <c r="G1178" t="s">
        <v>4517</v>
      </c>
      <c r="H1178" t="s">
        <v>22</v>
      </c>
      <c r="I1178" t="s">
        <v>23</v>
      </c>
      <c r="J1178" t="s">
        <v>921</v>
      </c>
      <c r="K1178" t="s">
        <v>370</v>
      </c>
      <c r="L1178">
        <v>50315</v>
      </c>
      <c r="M1178" t="s">
        <v>79</v>
      </c>
      <c r="N1178" t="s">
        <v>562</v>
      </c>
      <c r="O1178" t="s">
        <v>39</v>
      </c>
      <c r="P1178" t="s">
        <v>154</v>
      </c>
      <c r="Q1178" t="s">
        <v>563</v>
      </c>
      <c r="R1178">
        <v>612</v>
      </c>
    </row>
    <row r="1179" spans="1:18" x14ac:dyDescent="0.3">
      <c r="A1179" t="s">
        <v>4518</v>
      </c>
      <c r="B1179" s="1">
        <v>42565</v>
      </c>
      <c r="C1179" s="1">
        <v>42570</v>
      </c>
      <c r="D1179" s="1">
        <v>42552</v>
      </c>
      <c r="E1179" t="s">
        <v>19</v>
      </c>
      <c r="F1179" t="s">
        <v>4519</v>
      </c>
      <c r="G1179" t="s">
        <v>4520</v>
      </c>
      <c r="H1179" t="s">
        <v>22</v>
      </c>
      <c r="I1179" t="s">
        <v>23</v>
      </c>
      <c r="J1179" t="s">
        <v>1186</v>
      </c>
      <c r="K1179" t="s">
        <v>232</v>
      </c>
      <c r="L1179">
        <v>85204</v>
      </c>
      <c r="M1179" t="s">
        <v>37</v>
      </c>
      <c r="N1179" t="s">
        <v>1070</v>
      </c>
      <c r="O1179" t="s">
        <v>39</v>
      </c>
      <c r="P1179" t="s">
        <v>89</v>
      </c>
      <c r="Q1179" t="s">
        <v>1071</v>
      </c>
      <c r="R1179">
        <v>272736</v>
      </c>
    </row>
    <row r="1180" spans="1:18" x14ac:dyDescent="0.3">
      <c r="A1180" t="s">
        <v>4521</v>
      </c>
      <c r="B1180" s="1">
        <v>42155</v>
      </c>
      <c r="C1180" s="1">
        <v>42160</v>
      </c>
      <c r="D1180" s="1">
        <v>42125</v>
      </c>
      <c r="E1180" t="s">
        <v>43</v>
      </c>
      <c r="F1180" t="s">
        <v>3119</v>
      </c>
      <c r="G1180" t="s">
        <v>3120</v>
      </c>
      <c r="H1180" t="s">
        <v>22</v>
      </c>
      <c r="I1180" t="s">
        <v>23</v>
      </c>
      <c r="J1180" t="s">
        <v>248</v>
      </c>
      <c r="K1180" t="s">
        <v>984</v>
      </c>
      <c r="L1180">
        <v>39212</v>
      </c>
      <c r="M1180" t="s">
        <v>26</v>
      </c>
      <c r="N1180" t="s">
        <v>4522</v>
      </c>
      <c r="O1180" t="s">
        <v>147</v>
      </c>
      <c r="P1180" t="s">
        <v>148</v>
      </c>
      <c r="Q1180" t="s">
        <v>4523</v>
      </c>
      <c r="R1180">
        <v>65997</v>
      </c>
    </row>
    <row r="1181" spans="1:18" x14ac:dyDescent="0.3">
      <c r="A1181" t="s">
        <v>4524</v>
      </c>
      <c r="B1181" s="1">
        <v>42007</v>
      </c>
      <c r="C1181" s="1">
        <v>42011</v>
      </c>
      <c r="D1181" s="1">
        <v>42005</v>
      </c>
      <c r="E1181" t="s">
        <v>43</v>
      </c>
      <c r="F1181" t="s">
        <v>197</v>
      </c>
      <c r="G1181" t="s">
        <v>198</v>
      </c>
      <c r="H1181" t="s">
        <v>22</v>
      </c>
      <c r="I1181" t="s">
        <v>23</v>
      </c>
      <c r="J1181" t="s">
        <v>138</v>
      </c>
      <c r="K1181" t="s">
        <v>78</v>
      </c>
      <c r="L1181">
        <v>77095</v>
      </c>
      <c r="M1181" t="s">
        <v>79</v>
      </c>
      <c r="N1181" t="s">
        <v>4184</v>
      </c>
      <c r="O1181" t="s">
        <v>39</v>
      </c>
      <c r="P1181" t="s">
        <v>63</v>
      </c>
      <c r="Q1181" t="s">
        <v>4185</v>
      </c>
      <c r="R1181">
        <v>16448</v>
      </c>
    </row>
    <row r="1182" spans="1:18" x14ac:dyDescent="0.3">
      <c r="A1182" t="s">
        <v>4525</v>
      </c>
      <c r="B1182" s="1">
        <v>42936</v>
      </c>
      <c r="C1182" s="1">
        <v>42939</v>
      </c>
      <c r="D1182" s="1">
        <v>42917</v>
      </c>
      <c r="E1182" t="s">
        <v>19</v>
      </c>
      <c r="F1182" t="s">
        <v>1608</v>
      </c>
      <c r="G1182" t="s">
        <v>1609</v>
      </c>
      <c r="H1182" t="s">
        <v>22</v>
      </c>
      <c r="I1182" t="s">
        <v>23</v>
      </c>
      <c r="J1182" t="s">
        <v>1252</v>
      </c>
      <c r="K1182" t="s">
        <v>207</v>
      </c>
      <c r="L1182">
        <v>11561</v>
      </c>
      <c r="M1182" t="s">
        <v>117</v>
      </c>
      <c r="N1182" t="s">
        <v>4526</v>
      </c>
      <c r="O1182" t="s">
        <v>147</v>
      </c>
      <c r="P1182" t="s">
        <v>148</v>
      </c>
      <c r="Q1182" t="s">
        <v>4527</v>
      </c>
      <c r="R1182">
        <v>8995</v>
      </c>
    </row>
    <row r="1183" spans="1:18" x14ac:dyDescent="0.3">
      <c r="A1183" t="s">
        <v>4528</v>
      </c>
      <c r="B1183" s="1">
        <v>42633</v>
      </c>
      <c r="C1183" s="1">
        <v>42635</v>
      </c>
      <c r="D1183" s="1">
        <v>42614</v>
      </c>
      <c r="E1183" t="s">
        <v>142</v>
      </c>
      <c r="F1183" t="s">
        <v>92</v>
      </c>
      <c r="G1183" t="s">
        <v>93</v>
      </c>
      <c r="H1183" t="s">
        <v>22</v>
      </c>
      <c r="I1183" t="s">
        <v>23</v>
      </c>
      <c r="J1183" t="s">
        <v>1157</v>
      </c>
      <c r="K1183" t="s">
        <v>829</v>
      </c>
      <c r="L1183">
        <v>1841</v>
      </c>
      <c r="M1183" t="s">
        <v>117</v>
      </c>
      <c r="N1183" t="s">
        <v>3265</v>
      </c>
      <c r="O1183" t="s">
        <v>39</v>
      </c>
      <c r="P1183" t="s">
        <v>71</v>
      </c>
      <c r="Q1183" t="s">
        <v>3266</v>
      </c>
      <c r="R1183">
        <v>3768</v>
      </c>
    </row>
    <row r="1184" spans="1:18" x14ac:dyDescent="0.3">
      <c r="A1184" t="s">
        <v>4529</v>
      </c>
      <c r="B1184" s="1">
        <v>42663</v>
      </c>
      <c r="C1184" s="1">
        <v>42667</v>
      </c>
      <c r="D1184" s="1">
        <v>42644</v>
      </c>
      <c r="E1184" t="s">
        <v>43</v>
      </c>
      <c r="F1184" t="s">
        <v>1997</v>
      </c>
      <c r="G1184" t="s">
        <v>1998</v>
      </c>
      <c r="H1184" t="s">
        <v>34</v>
      </c>
      <c r="I1184" t="s">
        <v>23</v>
      </c>
      <c r="J1184" t="s">
        <v>101</v>
      </c>
      <c r="K1184" t="s">
        <v>36</v>
      </c>
      <c r="L1184">
        <v>94109</v>
      </c>
      <c r="M1184" t="s">
        <v>37</v>
      </c>
      <c r="N1184" t="s">
        <v>4530</v>
      </c>
      <c r="O1184" t="s">
        <v>147</v>
      </c>
      <c r="P1184" t="s">
        <v>180</v>
      </c>
      <c r="Q1184" t="s">
        <v>4531</v>
      </c>
      <c r="R1184">
        <v>23997</v>
      </c>
    </row>
    <row r="1185" spans="1:18" x14ac:dyDescent="0.3">
      <c r="A1185" t="s">
        <v>4532</v>
      </c>
      <c r="B1185" s="1">
        <v>43412</v>
      </c>
      <c r="C1185" s="1">
        <v>43417</v>
      </c>
      <c r="D1185" s="1">
        <v>43405</v>
      </c>
      <c r="E1185" t="s">
        <v>19</v>
      </c>
      <c r="F1185" t="s">
        <v>3509</v>
      </c>
      <c r="G1185" t="s">
        <v>3510</v>
      </c>
      <c r="H1185" t="s">
        <v>76</v>
      </c>
      <c r="I1185" t="s">
        <v>23</v>
      </c>
      <c r="J1185" t="s">
        <v>206</v>
      </c>
      <c r="K1185" t="s">
        <v>207</v>
      </c>
      <c r="L1185">
        <v>10035</v>
      </c>
      <c r="M1185" t="s">
        <v>117</v>
      </c>
      <c r="N1185" t="s">
        <v>2205</v>
      </c>
      <c r="O1185" t="s">
        <v>39</v>
      </c>
      <c r="P1185" t="s">
        <v>103</v>
      </c>
      <c r="Q1185" t="s">
        <v>2206</v>
      </c>
      <c r="R1185">
        <v>1099</v>
      </c>
    </row>
    <row r="1186" spans="1:18" x14ac:dyDescent="0.3">
      <c r="A1186" t="s">
        <v>4533</v>
      </c>
      <c r="B1186" s="1">
        <v>42512</v>
      </c>
      <c r="C1186" s="1">
        <v>42516</v>
      </c>
      <c r="D1186" s="1">
        <v>42491</v>
      </c>
      <c r="E1186" t="s">
        <v>43</v>
      </c>
      <c r="F1186" t="s">
        <v>4534</v>
      </c>
      <c r="G1186" t="s">
        <v>4535</v>
      </c>
      <c r="H1186" t="s">
        <v>22</v>
      </c>
      <c r="I1186" t="s">
        <v>23</v>
      </c>
      <c r="J1186" t="s">
        <v>35</v>
      </c>
      <c r="K1186" t="s">
        <v>36</v>
      </c>
      <c r="L1186">
        <v>90045</v>
      </c>
      <c r="M1186" t="s">
        <v>37</v>
      </c>
      <c r="N1186" t="s">
        <v>3885</v>
      </c>
      <c r="O1186" t="s">
        <v>39</v>
      </c>
      <c r="P1186" t="s">
        <v>40</v>
      </c>
      <c r="Q1186" t="s">
        <v>3886</v>
      </c>
      <c r="R1186">
        <v>826</v>
      </c>
    </row>
    <row r="1187" spans="1:18" x14ac:dyDescent="0.3">
      <c r="A1187" t="s">
        <v>4536</v>
      </c>
      <c r="B1187" s="1">
        <v>42803</v>
      </c>
      <c r="C1187" s="1">
        <v>42807</v>
      </c>
      <c r="D1187" s="1">
        <v>42795</v>
      </c>
      <c r="E1187" t="s">
        <v>43</v>
      </c>
      <c r="F1187" t="s">
        <v>333</v>
      </c>
      <c r="G1187" t="s">
        <v>334</v>
      </c>
      <c r="H1187" t="s">
        <v>76</v>
      </c>
      <c r="I1187" t="s">
        <v>23</v>
      </c>
      <c r="J1187" t="s">
        <v>4537</v>
      </c>
      <c r="K1187" t="s">
        <v>539</v>
      </c>
      <c r="L1187">
        <v>6460</v>
      </c>
      <c r="M1187" t="s">
        <v>117</v>
      </c>
      <c r="N1187" t="s">
        <v>691</v>
      </c>
      <c r="O1187" t="s">
        <v>147</v>
      </c>
      <c r="P1187" t="s">
        <v>180</v>
      </c>
      <c r="Q1187" t="s">
        <v>692</v>
      </c>
      <c r="R1187">
        <v>19975</v>
      </c>
    </row>
    <row r="1188" spans="1:18" x14ac:dyDescent="0.3">
      <c r="A1188" t="s">
        <v>4538</v>
      </c>
      <c r="B1188" s="1">
        <v>42916</v>
      </c>
      <c r="C1188" s="1">
        <v>42918</v>
      </c>
      <c r="D1188" s="1">
        <v>42887</v>
      </c>
      <c r="E1188" t="s">
        <v>19</v>
      </c>
      <c r="F1188" t="s">
        <v>397</v>
      </c>
      <c r="G1188" t="s">
        <v>398</v>
      </c>
      <c r="H1188" t="s">
        <v>22</v>
      </c>
      <c r="I1188" t="s">
        <v>23</v>
      </c>
      <c r="J1188" t="s">
        <v>4539</v>
      </c>
      <c r="K1188" t="s">
        <v>845</v>
      </c>
      <c r="L1188">
        <v>30328</v>
      </c>
      <c r="M1188" t="s">
        <v>26</v>
      </c>
      <c r="N1188" t="s">
        <v>4540</v>
      </c>
      <c r="O1188" t="s">
        <v>39</v>
      </c>
      <c r="P1188" t="s">
        <v>103</v>
      </c>
      <c r="Q1188" t="s">
        <v>4541</v>
      </c>
      <c r="R1188">
        <v>3597</v>
      </c>
    </row>
    <row r="1189" spans="1:18" x14ac:dyDescent="0.3">
      <c r="A1189" t="s">
        <v>4542</v>
      </c>
      <c r="B1189" s="1">
        <v>42500</v>
      </c>
      <c r="C1189" s="1">
        <v>42500</v>
      </c>
      <c r="D1189" s="1">
        <v>42491</v>
      </c>
      <c r="E1189" t="s">
        <v>857</v>
      </c>
      <c r="F1189" t="s">
        <v>2537</v>
      </c>
      <c r="G1189" t="s">
        <v>2538</v>
      </c>
      <c r="H1189" t="s">
        <v>76</v>
      </c>
      <c r="I1189" t="s">
        <v>23</v>
      </c>
      <c r="J1189" t="s">
        <v>345</v>
      </c>
      <c r="K1189" t="s">
        <v>160</v>
      </c>
      <c r="L1189">
        <v>60505</v>
      </c>
      <c r="M1189" t="s">
        <v>79</v>
      </c>
      <c r="N1189" t="s">
        <v>1366</v>
      </c>
      <c r="O1189" t="s">
        <v>39</v>
      </c>
      <c r="P1189" t="s">
        <v>81</v>
      </c>
      <c r="Q1189" t="s">
        <v>1367</v>
      </c>
      <c r="R1189">
        <v>7097</v>
      </c>
    </row>
    <row r="1190" spans="1:18" x14ac:dyDescent="0.3">
      <c r="A1190" t="s">
        <v>4543</v>
      </c>
      <c r="B1190" s="1">
        <v>43229</v>
      </c>
      <c r="C1190" s="1">
        <v>43230</v>
      </c>
      <c r="D1190" s="1">
        <v>43221</v>
      </c>
      <c r="E1190" t="s">
        <v>142</v>
      </c>
      <c r="F1190" t="s">
        <v>1149</v>
      </c>
      <c r="G1190" t="s">
        <v>1150</v>
      </c>
      <c r="H1190" t="s">
        <v>34</v>
      </c>
      <c r="I1190" t="s">
        <v>23</v>
      </c>
      <c r="J1190" t="s">
        <v>1007</v>
      </c>
      <c r="K1190" t="s">
        <v>61</v>
      </c>
      <c r="L1190">
        <v>28540</v>
      </c>
      <c r="M1190" t="s">
        <v>26</v>
      </c>
      <c r="N1190" t="s">
        <v>2093</v>
      </c>
      <c r="O1190" t="s">
        <v>39</v>
      </c>
      <c r="P1190" t="s">
        <v>154</v>
      </c>
      <c r="Q1190" t="s">
        <v>2094</v>
      </c>
      <c r="R1190">
        <v>65232</v>
      </c>
    </row>
    <row r="1191" spans="1:18" x14ac:dyDescent="0.3">
      <c r="A1191" t="s">
        <v>4544</v>
      </c>
      <c r="B1191" s="1">
        <v>43307</v>
      </c>
      <c r="C1191" s="1">
        <v>43313</v>
      </c>
      <c r="D1191" s="1">
        <v>43282</v>
      </c>
      <c r="E1191" t="s">
        <v>43</v>
      </c>
      <c r="F1191" t="s">
        <v>2193</v>
      </c>
      <c r="G1191" t="s">
        <v>2194</v>
      </c>
      <c r="H1191" t="s">
        <v>34</v>
      </c>
      <c r="I1191" t="s">
        <v>23</v>
      </c>
      <c r="J1191" t="s">
        <v>35</v>
      </c>
      <c r="K1191" t="s">
        <v>36</v>
      </c>
      <c r="L1191">
        <v>90036</v>
      </c>
      <c r="M1191" t="s">
        <v>37</v>
      </c>
      <c r="N1191" t="s">
        <v>4545</v>
      </c>
      <c r="O1191" t="s">
        <v>147</v>
      </c>
      <c r="P1191" t="s">
        <v>180</v>
      </c>
      <c r="Q1191" t="s">
        <v>4546</v>
      </c>
      <c r="R1191">
        <v>164995</v>
      </c>
    </row>
    <row r="1192" spans="1:18" x14ac:dyDescent="0.3">
      <c r="A1192" t="s">
        <v>4547</v>
      </c>
      <c r="B1192" s="1">
        <v>42958</v>
      </c>
      <c r="C1192" s="1">
        <v>42963</v>
      </c>
      <c r="D1192" s="1">
        <v>42948</v>
      </c>
      <c r="E1192" t="s">
        <v>43</v>
      </c>
      <c r="F1192" t="s">
        <v>1092</v>
      </c>
      <c r="G1192" t="s">
        <v>1093</v>
      </c>
      <c r="H1192" t="s">
        <v>76</v>
      </c>
      <c r="I1192" t="s">
        <v>23</v>
      </c>
      <c r="J1192" t="s">
        <v>2722</v>
      </c>
      <c r="K1192" t="s">
        <v>474</v>
      </c>
      <c r="L1192">
        <v>74133</v>
      </c>
      <c r="M1192" t="s">
        <v>79</v>
      </c>
      <c r="N1192" t="s">
        <v>4548</v>
      </c>
      <c r="O1192" t="s">
        <v>39</v>
      </c>
      <c r="P1192" t="s">
        <v>63</v>
      </c>
      <c r="Q1192" t="s">
        <v>4549</v>
      </c>
      <c r="R1192">
        <v>324</v>
      </c>
    </row>
    <row r="1193" spans="1:18" x14ac:dyDescent="0.3">
      <c r="A1193" t="s">
        <v>4550</v>
      </c>
      <c r="B1193" s="1">
        <v>43196</v>
      </c>
      <c r="C1193" s="1">
        <v>43202</v>
      </c>
      <c r="D1193" s="1">
        <v>43191</v>
      </c>
      <c r="E1193" t="s">
        <v>43</v>
      </c>
      <c r="F1193" t="s">
        <v>2669</v>
      </c>
      <c r="G1193" t="s">
        <v>2670</v>
      </c>
      <c r="H1193" t="s">
        <v>76</v>
      </c>
      <c r="I1193" t="s">
        <v>23</v>
      </c>
      <c r="J1193" t="s">
        <v>4551</v>
      </c>
      <c r="K1193" t="s">
        <v>370</v>
      </c>
      <c r="L1193">
        <v>52302</v>
      </c>
      <c r="M1193" t="s">
        <v>79</v>
      </c>
      <c r="N1193" t="s">
        <v>1929</v>
      </c>
      <c r="O1193" t="s">
        <v>39</v>
      </c>
      <c r="P1193" t="s">
        <v>63</v>
      </c>
      <c r="Q1193" t="s">
        <v>140</v>
      </c>
      <c r="R1193">
        <v>10632</v>
      </c>
    </row>
    <row r="1194" spans="1:18" x14ac:dyDescent="0.3">
      <c r="A1194" t="s">
        <v>4552</v>
      </c>
      <c r="B1194" s="1">
        <v>43173</v>
      </c>
      <c r="C1194" s="1">
        <v>43176</v>
      </c>
      <c r="D1194" s="1">
        <v>43160</v>
      </c>
      <c r="E1194" t="s">
        <v>19</v>
      </c>
      <c r="F1194" t="s">
        <v>4429</v>
      </c>
      <c r="G1194" t="s">
        <v>4430</v>
      </c>
      <c r="H1194" t="s">
        <v>34</v>
      </c>
      <c r="I1194" t="s">
        <v>23</v>
      </c>
      <c r="J1194" t="s">
        <v>225</v>
      </c>
      <c r="K1194" t="s">
        <v>160</v>
      </c>
      <c r="L1194">
        <v>60623</v>
      </c>
      <c r="M1194" t="s">
        <v>79</v>
      </c>
      <c r="N1194" t="s">
        <v>4553</v>
      </c>
      <c r="O1194" t="s">
        <v>147</v>
      </c>
      <c r="P1194" t="s">
        <v>148</v>
      </c>
      <c r="Q1194" t="s">
        <v>4554</v>
      </c>
      <c r="R1194">
        <v>49616</v>
      </c>
    </row>
    <row r="1195" spans="1:18" x14ac:dyDescent="0.3">
      <c r="A1195" t="s">
        <v>4555</v>
      </c>
      <c r="B1195" s="1">
        <v>42800</v>
      </c>
      <c r="C1195" s="1">
        <v>42804</v>
      </c>
      <c r="D1195" s="1">
        <v>42795</v>
      </c>
      <c r="E1195" t="s">
        <v>43</v>
      </c>
      <c r="F1195" t="s">
        <v>3493</v>
      </c>
      <c r="G1195" t="s">
        <v>3494</v>
      </c>
      <c r="H1195" t="s">
        <v>76</v>
      </c>
      <c r="I1195" t="s">
        <v>23</v>
      </c>
      <c r="J1195" t="s">
        <v>115</v>
      </c>
      <c r="K1195" t="s">
        <v>116</v>
      </c>
      <c r="L1195">
        <v>19120</v>
      </c>
      <c r="M1195" t="s">
        <v>117</v>
      </c>
      <c r="N1195" t="s">
        <v>2137</v>
      </c>
      <c r="O1195" t="s">
        <v>147</v>
      </c>
      <c r="P1195" t="s">
        <v>148</v>
      </c>
      <c r="Q1195" t="s">
        <v>2138</v>
      </c>
      <c r="R1195">
        <v>43194</v>
      </c>
    </row>
    <row r="1196" spans="1:18" x14ac:dyDescent="0.3">
      <c r="A1196" t="s">
        <v>4556</v>
      </c>
      <c r="B1196" s="1">
        <v>42246</v>
      </c>
      <c r="C1196" s="1">
        <v>42251</v>
      </c>
      <c r="D1196" s="1">
        <v>42217</v>
      </c>
      <c r="E1196" t="s">
        <v>43</v>
      </c>
      <c r="F1196" t="s">
        <v>1320</v>
      </c>
      <c r="G1196" t="s">
        <v>1321</v>
      </c>
      <c r="H1196" t="s">
        <v>22</v>
      </c>
      <c r="I1196" t="s">
        <v>23</v>
      </c>
      <c r="J1196" t="s">
        <v>388</v>
      </c>
      <c r="K1196" t="s">
        <v>539</v>
      </c>
      <c r="L1196">
        <v>6010</v>
      </c>
      <c r="M1196" t="s">
        <v>117</v>
      </c>
      <c r="N1196" t="s">
        <v>4557</v>
      </c>
      <c r="O1196" t="s">
        <v>39</v>
      </c>
      <c r="P1196" t="s">
        <v>71</v>
      </c>
      <c r="Q1196" t="s">
        <v>4558</v>
      </c>
      <c r="R1196">
        <v>253</v>
      </c>
    </row>
    <row r="1197" spans="1:18" x14ac:dyDescent="0.3">
      <c r="A1197" t="s">
        <v>4559</v>
      </c>
      <c r="B1197" s="1">
        <v>42068</v>
      </c>
      <c r="C1197" s="1">
        <v>42071</v>
      </c>
      <c r="D1197" s="1">
        <v>42064</v>
      </c>
      <c r="E1197" t="s">
        <v>19</v>
      </c>
      <c r="F1197" t="s">
        <v>4560</v>
      </c>
      <c r="G1197" t="s">
        <v>4561</v>
      </c>
      <c r="H1197" t="s">
        <v>22</v>
      </c>
      <c r="I1197" t="s">
        <v>23</v>
      </c>
      <c r="J1197" t="s">
        <v>1984</v>
      </c>
      <c r="K1197" t="s">
        <v>207</v>
      </c>
      <c r="L1197">
        <v>10701</v>
      </c>
      <c r="M1197" t="s">
        <v>117</v>
      </c>
      <c r="N1197" t="s">
        <v>1027</v>
      </c>
      <c r="O1197" t="s">
        <v>39</v>
      </c>
      <c r="P1197" t="s">
        <v>103</v>
      </c>
      <c r="Q1197" t="s">
        <v>1028</v>
      </c>
      <c r="R1197">
        <v>5952</v>
      </c>
    </row>
    <row r="1198" spans="1:18" x14ac:dyDescent="0.3">
      <c r="A1198" t="s">
        <v>4562</v>
      </c>
      <c r="B1198" s="1">
        <v>42821</v>
      </c>
      <c r="C1198" s="1">
        <v>42825</v>
      </c>
      <c r="D1198" s="1">
        <v>42795</v>
      </c>
      <c r="E1198" t="s">
        <v>43</v>
      </c>
      <c r="F1198" t="s">
        <v>626</v>
      </c>
      <c r="G1198" t="s">
        <v>627</v>
      </c>
      <c r="H1198" t="s">
        <v>34</v>
      </c>
      <c r="I1198" t="s">
        <v>23</v>
      </c>
      <c r="J1198" t="s">
        <v>376</v>
      </c>
      <c r="K1198" t="s">
        <v>845</v>
      </c>
      <c r="L1198">
        <v>31907</v>
      </c>
      <c r="M1198" t="s">
        <v>26</v>
      </c>
      <c r="N1198" t="s">
        <v>4563</v>
      </c>
      <c r="O1198" t="s">
        <v>28</v>
      </c>
      <c r="P1198" t="s">
        <v>55</v>
      </c>
      <c r="Q1198" t="s">
        <v>4564</v>
      </c>
      <c r="R1198">
        <v>2024</v>
      </c>
    </row>
    <row r="1199" spans="1:18" x14ac:dyDescent="0.3">
      <c r="A1199" t="s">
        <v>4565</v>
      </c>
      <c r="B1199" s="1">
        <v>42827</v>
      </c>
      <c r="C1199" s="1">
        <v>42831</v>
      </c>
      <c r="D1199" s="1">
        <v>42826</v>
      </c>
      <c r="E1199" t="s">
        <v>19</v>
      </c>
      <c r="F1199" t="s">
        <v>1328</v>
      </c>
      <c r="G1199" t="s">
        <v>1329</v>
      </c>
      <c r="H1199" t="s">
        <v>34</v>
      </c>
      <c r="I1199" t="s">
        <v>23</v>
      </c>
      <c r="J1199" t="s">
        <v>1614</v>
      </c>
      <c r="K1199" t="s">
        <v>87</v>
      </c>
      <c r="L1199">
        <v>53209</v>
      </c>
      <c r="M1199" t="s">
        <v>79</v>
      </c>
      <c r="N1199" t="s">
        <v>4566</v>
      </c>
      <c r="O1199" t="s">
        <v>28</v>
      </c>
      <c r="P1199" t="s">
        <v>119</v>
      </c>
      <c r="Q1199" t="s">
        <v>4567</v>
      </c>
      <c r="R1199">
        <v>14549</v>
      </c>
    </row>
    <row r="1200" spans="1:18" x14ac:dyDescent="0.3">
      <c r="A1200" t="s">
        <v>4568</v>
      </c>
      <c r="B1200" s="1">
        <v>42763</v>
      </c>
      <c r="C1200" s="1">
        <v>42767</v>
      </c>
      <c r="D1200" s="1">
        <v>42736</v>
      </c>
      <c r="E1200" t="s">
        <v>19</v>
      </c>
      <c r="F1200" t="s">
        <v>3070</v>
      </c>
      <c r="G1200" t="s">
        <v>3071</v>
      </c>
      <c r="H1200" t="s">
        <v>34</v>
      </c>
      <c r="I1200" t="s">
        <v>23</v>
      </c>
      <c r="J1200" t="s">
        <v>35</v>
      </c>
      <c r="K1200" t="s">
        <v>36</v>
      </c>
      <c r="L1200">
        <v>90036</v>
      </c>
      <c r="M1200" t="s">
        <v>37</v>
      </c>
      <c r="N1200" t="s">
        <v>1027</v>
      </c>
      <c r="O1200" t="s">
        <v>39</v>
      </c>
      <c r="P1200" t="s">
        <v>103</v>
      </c>
      <c r="Q1200" t="s">
        <v>1028</v>
      </c>
      <c r="R1200">
        <v>3968</v>
      </c>
    </row>
    <row r="1201" spans="1:18" x14ac:dyDescent="0.3">
      <c r="A1201" t="s">
        <v>4569</v>
      </c>
      <c r="B1201" s="1">
        <v>43048</v>
      </c>
      <c r="C1201" s="1">
        <v>43053</v>
      </c>
      <c r="D1201" s="1">
        <v>43040</v>
      </c>
      <c r="E1201" t="s">
        <v>43</v>
      </c>
      <c r="F1201" t="s">
        <v>397</v>
      </c>
      <c r="G1201" t="s">
        <v>398</v>
      </c>
      <c r="H1201" t="s">
        <v>22</v>
      </c>
      <c r="I1201" t="s">
        <v>23</v>
      </c>
      <c r="J1201" t="s">
        <v>2994</v>
      </c>
      <c r="K1201" t="s">
        <v>36</v>
      </c>
      <c r="L1201">
        <v>94601</v>
      </c>
      <c r="M1201" t="s">
        <v>37</v>
      </c>
      <c r="N1201" t="s">
        <v>4570</v>
      </c>
      <c r="O1201" t="s">
        <v>147</v>
      </c>
      <c r="P1201" t="s">
        <v>180</v>
      </c>
      <c r="Q1201" t="s">
        <v>4571</v>
      </c>
      <c r="R1201">
        <v>47997</v>
      </c>
    </row>
    <row r="1202" spans="1:18" x14ac:dyDescent="0.3">
      <c r="A1202" t="s">
        <v>4572</v>
      </c>
      <c r="B1202" s="1">
        <v>43397</v>
      </c>
      <c r="C1202" s="1">
        <v>43399</v>
      </c>
      <c r="D1202" s="1">
        <v>43374</v>
      </c>
      <c r="E1202" t="s">
        <v>142</v>
      </c>
      <c r="F1202" t="s">
        <v>792</v>
      </c>
      <c r="G1202" t="s">
        <v>793</v>
      </c>
      <c r="H1202" t="s">
        <v>22</v>
      </c>
      <c r="I1202" t="s">
        <v>23</v>
      </c>
      <c r="J1202" t="s">
        <v>4573</v>
      </c>
      <c r="K1202" t="s">
        <v>78</v>
      </c>
      <c r="L1202">
        <v>76063</v>
      </c>
      <c r="M1202" t="s">
        <v>79</v>
      </c>
      <c r="N1202" t="s">
        <v>4574</v>
      </c>
      <c r="O1202" t="s">
        <v>28</v>
      </c>
      <c r="P1202" t="s">
        <v>49</v>
      </c>
      <c r="Q1202" t="s">
        <v>4575</v>
      </c>
      <c r="R1202">
        <v>517405</v>
      </c>
    </row>
    <row r="1203" spans="1:18" x14ac:dyDescent="0.3">
      <c r="A1203" t="s">
        <v>4576</v>
      </c>
      <c r="B1203" s="1">
        <v>42278</v>
      </c>
      <c r="C1203" s="1">
        <v>42282</v>
      </c>
      <c r="D1203" s="1">
        <v>42278</v>
      </c>
      <c r="E1203" t="s">
        <v>43</v>
      </c>
      <c r="F1203" t="s">
        <v>4577</v>
      </c>
      <c r="G1203" t="s">
        <v>4578</v>
      </c>
      <c r="H1203" t="s">
        <v>76</v>
      </c>
      <c r="I1203" t="s">
        <v>23</v>
      </c>
      <c r="J1203" t="s">
        <v>2042</v>
      </c>
      <c r="K1203" t="s">
        <v>934</v>
      </c>
      <c r="L1203">
        <v>89502</v>
      </c>
      <c r="M1203" t="s">
        <v>37</v>
      </c>
      <c r="N1203" t="s">
        <v>4579</v>
      </c>
      <c r="O1203" t="s">
        <v>39</v>
      </c>
      <c r="P1203" t="s">
        <v>209</v>
      </c>
      <c r="Q1203" t="s">
        <v>4580</v>
      </c>
      <c r="R1203">
        <v>471</v>
      </c>
    </row>
    <row r="1204" spans="1:18" x14ac:dyDescent="0.3">
      <c r="A1204" t="s">
        <v>4581</v>
      </c>
      <c r="B1204" s="1">
        <v>42423</v>
      </c>
      <c r="C1204" s="1">
        <v>42428</v>
      </c>
      <c r="D1204" s="1">
        <v>42401</v>
      </c>
      <c r="E1204" t="s">
        <v>43</v>
      </c>
      <c r="F1204" t="s">
        <v>4582</v>
      </c>
      <c r="G1204" t="s">
        <v>4583</v>
      </c>
      <c r="H1204" t="s">
        <v>76</v>
      </c>
      <c r="I1204" t="s">
        <v>23</v>
      </c>
      <c r="J1204" t="s">
        <v>206</v>
      </c>
      <c r="K1204" t="s">
        <v>207</v>
      </c>
      <c r="L1204">
        <v>10024</v>
      </c>
      <c r="M1204" t="s">
        <v>117</v>
      </c>
      <c r="N1204" t="s">
        <v>1395</v>
      </c>
      <c r="O1204" t="s">
        <v>39</v>
      </c>
      <c r="P1204" t="s">
        <v>81</v>
      </c>
      <c r="Q1204" t="s">
        <v>1396</v>
      </c>
      <c r="R1204">
        <v>2688</v>
      </c>
    </row>
    <row r="1205" spans="1:18" x14ac:dyDescent="0.3">
      <c r="A1205" t="s">
        <v>4584</v>
      </c>
      <c r="B1205" s="1">
        <v>42831</v>
      </c>
      <c r="C1205" s="1">
        <v>42835</v>
      </c>
      <c r="D1205" s="1">
        <v>42826</v>
      </c>
      <c r="E1205" t="s">
        <v>43</v>
      </c>
      <c r="F1205" t="s">
        <v>2573</v>
      </c>
      <c r="G1205" t="s">
        <v>2574</v>
      </c>
      <c r="H1205" t="s">
        <v>76</v>
      </c>
      <c r="I1205" t="s">
        <v>23</v>
      </c>
      <c r="J1205" t="s">
        <v>1405</v>
      </c>
      <c r="K1205" t="s">
        <v>4585</v>
      </c>
      <c r="M1205" t="s">
        <v>117</v>
      </c>
      <c r="N1205" t="s">
        <v>4586</v>
      </c>
      <c r="O1205" t="s">
        <v>147</v>
      </c>
      <c r="P1205" t="s">
        <v>148</v>
      </c>
      <c r="Q1205" t="s">
        <v>4587</v>
      </c>
      <c r="R1205">
        <v>129475</v>
      </c>
    </row>
    <row r="1206" spans="1:18" x14ac:dyDescent="0.3">
      <c r="A1206" t="s">
        <v>4588</v>
      </c>
      <c r="B1206" s="1">
        <v>42132</v>
      </c>
      <c r="C1206" s="1">
        <v>42134</v>
      </c>
      <c r="D1206" s="1">
        <v>42125</v>
      </c>
      <c r="E1206" t="s">
        <v>142</v>
      </c>
      <c r="F1206" t="s">
        <v>4589</v>
      </c>
      <c r="G1206" t="s">
        <v>4590</v>
      </c>
      <c r="H1206" t="s">
        <v>22</v>
      </c>
      <c r="I1206" t="s">
        <v>23</v>
      </c>
      <c r="J1206" t="s">
        <v>115</v>
      </c>
      <c r="K1206" t="s">
        <v>116</v>
      </c>
      <c r="L1206">
        <v>19134</v>
      </c>
      <c r="M1206" t="s">
        <v>117</v>
      </c>
      <c r="N1206" t="s">
        <v>4426</v>
      </c>
      <c r="O1206" t="s">
        <v>147</v>
      </c>
      <c r="P1206" t="s">
        <v>1143</v>
      </c>
      <c r="Q1206" t="s">
        <v>4427</v>
      </c>
      <c r="R1206">
        <v>179997</v>
      </c>
    </row>
    <row r="1207" spans="1:18" x14ac:dyDescent="0.3">
      <c r="A1207" t="s">
        <v>4591</v>
      </c>
      <c r="B1207" s="1">
        <v>42775</v>
      </c>
      <c r="C1207" s="1">
        <v>42779</v>
      </c>
      <c r="D1207" s="1">
        <v>42767</v>
      </c>
      <c r="E1207" t="s">
        <v>43</v>
      </c>
      <c r="F1207" t="s">
        <v>1767</v>
      </c>
      <c r="G1207" t="s">
        <v>1768</v>
      </c>
      <c r="H1207" t="s">
        <v>34</v>
      </c>
      <c r="I1207" t="s">
        <v>23</v>
      </c>
      <c r="J1207" t="s">
        <v>101</v>
      </c>
      <c r="K1207" t="s">
        <v>36</v>
      </c>
      <c r="L1207">
        <v>94110</v>
      </c>
      <c r="M1207" t="s">
        <v>37</v>
      </c>
      <c r="N1207" t="s">
        <v>710</v>
      </c>
      <c r="O1207" t="s">
        <v>147</v>
      </c>
      <c r="P1207" t="s">
        <v>180</v>
      </c>
      <c r="Q1207" t="s">
        <v>711</v>
      </c>
      <c r="R1207">
        <v>8997</v>
      </c>
    </row>
    <row r="1208" spans="1:18" x14ac:dyDescent="0.3">
      <c r="A1208" t="s">
        <v>4592</v>
      </c>
      <c r="B1208" s="1">
        <v>42886</v>
      </c>
      <c r="C1208" s="1">
        <v>42890</v>
      </c>
      <c r="D1208" s="1">
        <v>42856</v>
      </c>
      <c r="E1208" t="s">
        <v>43</v>
      </c>
      <c r="F1208" t="s">
        <v>2241</v>
      </c>
      <c r="G1208" t="s">
        <v>2242</v>
      </c>
      <c r="H1208" t="s">
        <v>22</v>
      </c>
      <c r="I1208" t="s">
        <v>23</v>
      </c>
      <c r="J1208" t="s">
        <v>1044</v>
      </c>
      <c r="K1208" t="s">
        <v>160</v>
      </c>
      <c r="L1208">
        <v>62521</v>
      </c>
      <c r="M1208" t="s">
        <v>79</v>
      </c>
      <c r="N1208" t="s">
        <v>4593</v>
      </c>
      <c r="O1208" t="s">
        <v>28</v>
      </c>
      <c r="P1208" t="s">
        <v>55</v>
      </c>
      <c r="Q1208" t="s">
        <v>4594</v>
      </c>
      <c r="R1208">
        <v>32064</v>
      </c>
    </row>
    <row r="1209" spans="1:18" x14ac:dyDescent="0.3">
      <c r="A1209" t="s">
        <v>4595</v>
      </c>
      <c r="B1209" s="1">
        <v>42395</v>
      </c>
      <c r="C1209" s="1">
        <v>42401</v>
      </c>
      <c r="D1209" s="1">
        <v>42370</v>
      </c>
      <c r="E1209" t="s">
        <v>43</v>
      </c>
      <c r="F1209" t="s">
        <v>4596</v>
      </c>
      <c r="G1209" t="s">
        <v>4597</v>
      </c>
      <c r="H1209" t="s">
        <v>34</v>
      </c>
      <c r="I1209" t="s">
        <v>23</v>
      </c>
      <c r="J1209" t="s">
        <v>4077</v>
      </c>
      <c r="K1209" t="s">
        <v>36</v>
      </c>
      <c r="L1209">
        <v>92553</v>
      </c>
      <c r="M1209" t="s">
        <v>37</v>
      </c>
      <c r="N1209" t="s">
        <v>3048</v>
      </c>
      <c r="O1209" t="s">
        <v>39</v>
      </c>
      <c r="P1209" t="s">
        <v>63</v>
      </c>
      <c r="Q1209" t="s">
        <v>3049</v>
      </c>
      <c r="R1209">
        <v>18272</v>
      </c>
    </row>
    <row r="1210" spans="1:18" x14ac:dyDescent="0.3">
      <c r="A1210" t="s">
        <v>4598</v>
      </c>
      <c r="B1210" s="1">
        <v>43383</v>
      </c>
      <c r="C1210" s="1">
        <v>43389</v>
      </c>
      <c r="D1210" s="1">
        <v>43374</v>
      </c>
      <c r="E1210" t="s">
        <v>43</v>
      </c>
      <c r="F1210" t="s">
        <v>4599</v>
      </c>
      <c r="G1210" t="s">
        <v>4600</v>
      </c>
      <c r="H1210" t="s">
        <v>22</v>
      </c>
      <c r="I1210" t="s">
        <v>23</v>
      </c>
      <c r="J1210" t="s">
        <v>345</v>
      </c>
      <c r="K1210" t="s">
        <v>160</v>
      </c>
      <c r="L1210">
        <v>60505</v>
      </c>
      <c r="M1210" t="s">
        <v>79</v>
      </c>
      <c r="N1210" t="s">
        <v>4601</v>
      </c>
      <c r="O1210" t="s">
        <v>28</v>
      </c>
      <c r="P1210" t="s">
        <v>119</v>
      </c>
      <c r="Q1210" t="s">
        <v>4602</v>
      </c>
      <c r="R1210">
        <v>239358</v>
      </c>
    </row>
    <row r="1211" spans="1:18" x14ac:dyDescent="0.3">
      <c r="A1211" t="s">
        <v>4603</v>
      </c>
      <c r="B1211" s="1">
        <v>43293</v>
      </c>
      <c r="C1211" s="1">
        <v>43299</v>
      </c>
      <c r="D1211" s="1">
        <v>43282</v>
      </c>
      <c r="E1211" t="s">
        <v>43</v>
      </c>
      <c r="F1211" t="s">
        <v>4604</v>
      </c>
      <c r="G1211" t="s">
        <v>4605</v>
      </c>
      <c r="H1211" t="s">
        <v>22</v>
      </c>
      <c r="I1211" t="s">
        <v>23</v>
      </c>
      <c r="J1211" t="s">
        <v>538</v>
      </c>
      <c r="K1211" t="s">
        <v>377</v>
      </c>
      <c r="L1211">
        <v>45014</v>
      </c>
      <c r="M1211" t="s">
        <v>117</v>
      </c>
      <c r="N1211" t="s">
        <v>3441</v>
      </c>
      <c r="O1211" t="s">
        <v>39</v>
      </c>
      <c r="P1211" t="s">
        <v>63</v>
      </c>
      <c r="Q1211" t="s">
        <v>3442</v>
      </c>
      <c r="R1211">
        <v>3816</v>
      </c>
    </row>
    <row r="1212" spans="1:18" x14ac:dyDescent="0.3">
      <c r="A1212" t="s">
        <v>4606</v>
      </c>
      <c r="B1212" s="1">
        <v>42508</v>
      </c>
      <c r="C1212" s="1">
        <v>42512</v>
      </c>
      <c r="D1212" s="1">
        <v>42491</v>
      </c>
      <c r="E1212" t="s">
        <v>43</v>
      </c>
      <c r="F1212" t="s">
        <v>1674</v>
      </c>
      <c r="G1212" t="s">
        <v>1675</v>
      </c>
      <c r="H1212" t="s">
        <v>34</v>
      </c>
      <c r="I1212" t="s">
        <v>23</v>
      </c>
      <c r="J1212" t="s">
        <v>35</v>
      </c>
      <c r="K1212" t="s">
        <v>36</v>
      </c>
      <c r="L1212">
        <v>90004</v>
      </c>
      <c r="M1212" t="s">
        <v>37</v>
      </c>
      <c r="N1212" t="s">
        <v>4607</v>
      </c>
      <c r="O1212" t="s">
        <v>39</v>
      </c>
      <c r="P1212" t="s">
        <v>63</v>
      </c>
      <c r="Q1212" t="s">
        <v>4608</v>
      </c>
      <c r="R1212">
        <v>1086</v>
      </c>
    </row>
    <row r="1213" spans="1:18" x14ac:dyDescent="0.3">
      <c r="A1213" t="s">
        <v>4609</v>
      </c>
      <c r="B1213" s="1">
        <v>42027</v>
      </c>
      <c r="C1213" s="1">
        <v>42032</v>
      </c>
      <c r="D1213" s="1">
        <v>42005</v>
      </c>
      <c r="E1213" t="s">
        <v>43</v>
      </c>
      <c r="F1213" t="s">
        <v>4610</v>
      </c>
      <c r="G1213" t="s">
        <v>4611</v>
      </c>
      <c r="H1213" t="s">
        <v>22</v>
      </c>
      <c r="I1213" t="s">
        <v>23</v>
      </c>
      <c r="J1213" t="s">
        <v>933</v>
      </c>
      <c r="K1213" t="s">
        <v>934</v>
      </c>
      <c r="L1213">
        <v>89115</v>
      </c>
      <c r="M1213" t="s">
        <v>37</v>
      </c>
      <c r="N1213" t="s">
        <v>421</v>
      </c>
      <c r="O1213" t="s">
        <v>39</v>
      </c>
      <c r="P1213" t="s">
        <v>63</v>
      </c>
      <c r="Q1213" t="s">
        <v>422</v>
      </c>
      <c r="R1213">
        <v>4008</v>
      </c>
    </row>
    <row r="1214" spans="1:18" x14ac:dyDescent="0.3">
      <c r="A1214" t="s">
        <v>4612</v>
      </c>
      <c r="B1214" s="1">
        <v>42529</v>
      </c>
      <c r="C1214" s="1">
        <v>42533</v>
      </c>
      <c r="D1214" s="1">
        <v>42522</v>
      </c>
      <c r="E1214" t="s">
        <v>43</v>
      </c>
      <c r="F1214" t="s">
        <v>4613</v>
      </c>
      <c r="G1214" t="s">
        <v>4614</v>
      </c>
      <c r="H1214" t="s">
        <v>22</v>
      </c>
      <c r="I1214" t="s">
        <v>23</v>
      </c>
      <c r="J1214" t="s">
        <v>225</v>
      </c>
      <c r="K1214" t="s">
        <v>160</v>
      </c>
      <c r="L1214">
        <v>60610</v>
      </c>
      <c r="M1214" t="s">
        <v>79</v>
      </c>
      <c r="N1214" t="s">
        <v>4615</v>
      </c>
      <c r="O1214" t="s">
        <v>147</v>
      </c>
      <c r="P1214" t="s">
        <v>180</v>
      </c>
      <c r="Q1214" t="s">
        <v>4616</v>
      </c>
      <c r="R1214">
        <v>2376</v>
      </c>
    </row>
    <row r="1215" spans="1:18" x14ac:dyDescent="0.3">
      <c r="A1215" t="s">
        <v>4617</v>
      </c>
      <c r="B1215" s="1">
        <v>42043</v>
      </c>
      <c r="C1215" s="1">
        <v>42044</v>
      </c>
      <c r="D1215" s="1">
        <v>42036</v>
      </c>
      <c r="E1215" t="s">
        <v>142</v>
      </c>
      <c r="F1215" t="s">
        <v>775</v>
      </c>
      <c r="G1215" t="s">
        <v>776</v>
      </c>
      <c r="H1215" t="s">
        <v>76</v>
      </c>
      <c r="I1215" t="s">
        <v>23</v>
      </c>
      <c r="J1215" t="s">
        <v>2590</v>
      </c>
      <c r="K1215" t="s">
        <v>934</v>
      </c>
      <c r="L1215">
        <v>89031</v>
      </c>
      <c r="M1215" t="s">
        <v>37</v>
      </c>
      <c r="N1215" t="s">
        <v>4618</v>
      </c>
      <c r="O1215" t="s">
        <v>28</v>
      </c>
      <c r="P1215" t="s">
        <v>55</v>
      </c>
      <c r="Q1215" t="s">
        <v>4619</v>
      </c>
      <c r="R1215">
        <v>1456</v>
      </c>
    </row>
    <row r="1216" spans="1:18" x14ac:dyDescent="0.3">
      <c r="A1216" t="s">
        <v>4620</v>
      </c>
      <c r="B1216" s="1">
        <v>42685</v>
      </c>
      <c r="C1216" s="1">
        <v>42685</v>
      </c>
      <c r="D1216" s="1">
        <v>42675</v>
      </c>
      <c r="E1216" t="s">
        <v>857</v>
      </c>
      <c r="F1216" t="s">
        <v>719</v>
      </c>
      <c r="G1216" t="s">
        <v>720</v>
      </c>
      <c r="H1216" t="s">
        <v>34</v>
      </c>
      <c r="I1216" t="s">
        <v>23</v>
      </c>
      <c r="J1216" t="s">
        <v>628</v>
      </c>
      <c r="K1216" t="s">
        <v>186</v>
      </c>
      <c r="L1216">
        <v>48234</v>
      </c>
      <c r="M1216" t="s">
        <v>79</v>
      </c>
      <c r="N1216" t="s">
        <v>172</v>
      </c>
      <c r="O1216" t="s">
        <v>39</v>
      </c>
      <c r="P1216" t="s">
        <v>89</v>
      </c>
      <c r="Q1216" t="s">
        <v>173</v>
      </c>
      <c r="R1216">
        <v>41832</v>
      </c>
    </row>
    <row r="1217" spans="1:18" x14ac:dyDescent="0.3">
      <c r="A1217" t="s">
        <v>4621</v>
      </c>
      <c r="B1217" s="1">
        <v>43152</v>
      </c>
      <c r="C1217" s="1">
        <v>43157</v>
      </c>
      <c r="D1217" s="1">
        <v>43132</v>
      </c>
      <c r="E1217" t="s">
        <v>43</v>
      </c>
      <c r="F1217" t="s">
        <v>381</v>
      </c>
      <c r="G1217" t="s">
        <v>382</v>
      </c>
      <c r="H1217" t="s">
        <v>22</v>
      </c>
      <c r="I1217" t="s">
        <v>23</v>
      </c>
      <c r="J1217" t="s">
        <v>4270</v>
      </c>
      <c r="K1217" t="s">
        <v>78</v>
      </c>
      <c r="L1217">
        <v>75007</v>
      </c>
      <c r="M1217" t="s">
        <v>79</v>
      </c>
      <c r="N1217" t="s">
        <v>4622</v>
      </c>
      <c r="O1217" t="s">
        <v>147</v>
      </c>
      <c r="P1217" t="s">
        <v>180</v>
      </c>
      <c r="Q1217" t="s">
        <v>4623</v>
      </c>
      <c r="R1217">
        <v>47904</v>
      </c>
    </row>
    <row r="1218" spans="1:18" x14ac:dyDescent="0.3">
      <c r="A1218" t="s">
        <v>4624</v>
      </c>
      <c r="B1218" s="1">
        <v>42629</v>
      </c>
      <c r="C1218" s="1">
        <v>42634</v>
      </c>
      <c r="D1218" s="1">
        <v>42614</v>
      </c>
      <c r="E1218" t="s">
        <v>43</v>
      </c>
      <c r="F1218" t="s">
        <v>1200</v>
      </c>
      <c r="G1218" t="s">
        <v>1201</v>
      </c>
      <c r="H1218" t="s">
        <v>22</v>
      </c>
      <c r="I1218" t="s">
        <v>23</v>
      </c>
      <c r="J1218" t="s">
        <v>4070</v>
      </c>
      <c r="K1218" t="s">
        <v>239</v>
      </c>
      <c r="L1218">
        <v>23602</v>
      </c>
      <c r="M1218" t="s">
        <v>26</v>
      </c>
      <c r="N1218" t="s">
        <v>4625</v>
      </c>
      <c r="O1218" t="s">
        <v>39</v>
      </c>
      <c r="P1218" t="s">
        <v>154</v>
      </c>
      <c r="Q1218" t="s">
        <v>493</v>
      </c>
      <c r="R1218">
        <v>3112</v>
      </c>
    </row>
    <row r="1219" spans="1:18" x14ac:dyDescent="0.3">
      <c r="A1219" t="s">
        <v>4626</v>
      </c>
      <c r="B1219" s="1">
        <v>42179</v>
      </c>
      <c r="C1219" s="1">
        <v>42183</v>
      </c>
      <c r="D1219" s="1">
        <v>42156</v>
      </c>
      <c r="E1219" t="s">
        <v>43</v>
      </c>
      <c r="F1219" t="s">
        <v>1240</v>
      </c>
      <c r="G1219" t="s">
        <v>1241</v>
      </c>
      <c r="H1219" t="s">
        <v>22</v>
      </c>
      <c r="I1219" t="s">
        <v>23</v>
      </c>
      <c r="J1219" t="s">
        <v>872</v>
      </c>
      <c r="K1219" t="s">
        <v>232</v>
      </c>
      <c r="L1219">
        <v>85705</v>
      </c>
      <c r="M1219" t="s">
        <v>37</v>
      </c>
      <c r="N1219" t="s">
        <v>4627</v>
      </c>
      <c r="O1219" t="s">
        <v>28</v>
      </c>
      <c r="P1219" t="s">
        <v>55</v>
      </c>
      <c r="Q1219" t="s">
        <v>4628</v>
      </c>
      <c r="R1219">
        <v>4272</v>
      </c>
    </row>
    <row r="1220" spans="1:18" x14ac:dyDescent="0.3">
      <c r="A1220" t="s">
        <v>4629</v>
      </c>
      <c r="B1220" s="1">
        <v>42304</v>
      </c>
      <c r="C1220" s="1">
        <v>42309</v>
      </c>
      <c r="D1220" s="1">
        <v>42278</v>
      </c>
      <c r="E1220" t="s">
        <v>43</v>
      </c>
      <c r="F1220" t="s">
        <v>1457</v>
      </c>
      <c r="G1220" t="s">
        <v>1458</v>
      </c>
      <c r="H1220" t="s">
        <v>76</v>
      </c>
      <c r="I1220" t="s">
        <v>23</v>
      </c>
      <c r="J1220" t="s">
        <v>3297</v>
      </c>
      <c r="K1220" t="s">
        <v>61</v>
      </c>
      <c r="L1220">
        <v>28314</v>
      </c>
      <c r="M1220" t="s">
        <v>26</v>
      </c>
      <c r="N1220" t="s">
        <v>1926</v>
      </c>
      <c r="O1220" t="s">
        <v>39</v>
      </c>
      <c r="P1220" t="s">
        <v>63</v>
      </c>
      <c r="Q1220" t="s">
        <v>1927</v>
      </c>
      <c r="R1220">
        <v>10368</v>
      </c>
    </row>
    <row r="1221" spans="1:18" x14ac:dyDescent="0.3">
      <c r="A1221" t="s">
        <v>4630</v>
      </c>
      <c r="B1221" s="1">
        <v>42062</v>
      </c>
      <c r="C1221" s="1">
        <v>42066</v>
      </c>
      <c r="D1221" s="1">
        <v>42036</v>
      </c>
      <c r="E1221" t="s">
        <v>142</v>
      </c>
      <c r="F1221" t="s">
        <v>4258</v>
      </c>
      <c r="G1221" t="s">
        <v>4259</v>
      </c>
      <c r="H1221" t="s">
        <v>22</v>
      </c>
      <c r="I1221" t="s">
        <v>23</v>
      </c>
      <c r="J1221" t="s">
        <v>376</v>
      </c>
      <c r="K1221" t="s">
        <v>377</v>
      </c>
      <c r="L1221">
        <v>43229</v>
      </c>
      <c r="M1221" t="s">
        <v>117</v>
      </c>
      <c r="N1221" t="s">
        <v>1232</v>
      </c>
      <c r="O1221" t="s">
        <v>39</v>
      </c>
      <c r="P1221" t="s">
        <v>103</v>
      </c>
      <c r="Q1221" t="s">
        <v>1233</v>
      </c>
      <c r="R1221">
        <v>19456</v>
      </c>
    </row>
    <row r="1222" spans="1:18" x14ac:dyDescent="0.3">
      <c r="A1222" t="s">
        <v>4631</v>
      </c>
      <c r="B1222" s="1">
        <v>42952</v>
      </c>
      <c r="C1222" s="1">
        <v>42958</v>
      </c>
      <c r="D1222" s="1">
        <v>42948</v>
      </c>
      <c r="E1222" t="s">
        <v>43</v>
      </c>
      <c r="F1222" t="s">
        <v>4632</v>
      </c>
      <c r="G1222" t="s">
        <v>4633</v>
      </c>
      <c r="H1222" t="s">
        <v>34</v>
      </c>
      <c r="I1222" t="s">
        <v>23</v>
      </c>
      <c r="J1222" t="s">
        <v>3152</v>
      </c>
      <c r="K1222" t="s">
        <v>1180</v>
      </c>
      <c r="L1222">
        <v>35810</v>
      </c>
      <c r="M1222" t="s">
        <v>26</v>
      </c>
      <c r="N1222" t="s">
        <v>4634</v>
      </c>
      <c r="O1222" t="s">
        <v>39</v>
      </c>
      <c r="P1222" t="s">
        <v>103</v>
      </c>
      <c r="Q1222" t="s">
        <v>4635</v>
      </c>
      <c r="R1222">
        <v>19705</v>
      </c>
    </row>
    <row r="1223" spans="1:18" x14ac:dyDescent="0.3">
      <c r="A1223" t="s">
        <v>4636</v>
      </c>
      <c r="B1223" s="1">
        <v>42052</v>
      </c>
      <c r="C1223" s="1">
        <v>42059</v>
      </c>
      <c r="D1223" s="1">
        <v>42036</v>
      </c>
      <c r="E1223" t="s">
        <v>43</v>
      </c>
      <c r="F1223" t="s">
        <v>1843</v>
      </c>
      <c r="G1223" t="s">
        <v>1844</v>
      </c>
      <c r="H1223" t="s">
        <v>22</v>
      </c>
      <c r="I1223" t="s">
        <v>23</v>
      </c>
      <c r="J1223" t="s">
        <v>225</v>
      </c>
      <c r="K1223" t="s">
        <v>160</v>
      </c>
      <c r="L1223">
        <v>60653</v>
      </c>
      <c r="M1223" t="s">
        <v>79</v>
      </c>
      <c r="N1223" t="s">
        <v>2766</v>
      </c>
      <c r="O1223" t="s">
        <v>39</v>
      </c>
      <c r="P1223" t="s">
        <v>103</v>
      </c>
      <c r="Q1223" t="s">
        <v>1919</v>
      </c>
      <c r="R1223">
        <v>54208</v>
      </c>
    </row>
    <row r="1224" spans="1:18" x14ac:dyDescent="0.3">
      <c r="A1224" t="s">
        <v>4637</v>
      </c>
      <c r="B1224" s="1">
        <v>42501</v>
      </c>
      <c r="C1224" s="1">
        <v>42506</v>
      </c>
      <c r="D1224" s="1">
        <v>42491</v>
      </c>
      <c r="E1224" t="s">
        <v>19</v>
      </c>
      <c r="F1224" t="s">
        <v>223</v>
      </c>
      <c r="G1224" t="s">
        <v>224</v>
      </c>
      <c r="H1224" t="s">
        <v>76</v>
      </c>
      <c r="I1224" t="s">
        <v>23</v>
      </c>
      <c r="J1224" t="s">
        <v>405</v>
      </c>
      <c r="K1224" t="s">
        <v>232</v>
      </c>
      <c r="L1224">
        <v>85023</v>
      </c>
      <c r="M1224" t="s">
        <v>37</v>
      </c>
      <c r="N1224" t="s">
        <v>2544</v>
      </c>
      <c r="O1224" t="s">
        <v>28</v>
      </c>
      <c r="P1224" t="s">
        <v>119</v>
      </c>
      <c r="Q1224" t="s">
        <v>2545</v>
      </c>
      <c r="R1224">
        <v>191968</v>
      </c>
    </row>
    <row r="1225" spans="1:18" x14ac:dyDescent="0.3">
      <c r="A1225" t="s">
        <v>4638</v>
      </c>
      <c r="B1225" s="1">
        <v>42474</v>
      </c>
      <c r="C1225" s="1">
        <v>42478</v>
      </c>
      <c r="D1225" s="1">
        <v>42461</v>
      </c>
      <c r="E1225" t="s">
        <v>43</v>
      </c>
      <c r="F1225" t="s">
        <v>3131</v>
      </c>
      <c r="G1225" t="s">
        <v>3132</v>
      </c>
      <c r="H1225" t="s">
        <v>22</v>
      </c>
      <c r="I1225" t="s">
        <v>23</v>
      </c>
      <c r="J1225" t="s">
        <v>238</v>
      </c>
      <c r="K1225" t="s">
        <v>313</v>
      </c>
      <c r="L1225">
        <v>97477</v>
      </c>
      <c r="M1225" t="s">
        <v>37</v>
      </c>
      <c r="N1225" t="s">
        <v>4639</v>
      </c>
      <c r="O1225" t="s">
        <v>39</v>
      </c>
      <c r="P1225" t="s">
        <v>81</v>
      </c>
      <c r="Q1225" t="s">
        <v>4640</v>
      </c>
      <c r="R1225">
        <v>35208</v>
      </c>
    </row>
    <row r="1226" spans="1:18" x14ac:dyDescent="0.3">
      <c r="A1226" t="s">
        <v>4641</v>
      </c>
      <c r="B1226" s="1">
        <v>42397</v>
      </c>
      <c r="C1226" s="1">
        <v>42400</v>
      </c>
      <c r="D1226" s="1">
        <v>42370</v>
      </c>
      <c r="E1226" t="s">
        <v>19</v>
      </c>
      <c r="F1226" t="s">
        <v>600</v>
      </c>
      <c r="G1226" t="s">
        <v>601</v>
      </c>
      <c r="H1226" t="s">
        <v>22</v>
      </c>
      <c r="I1226" t="s">
        <v>23</v>
      </c>
      <c r="J1226" t="s">
        <v>60</v>
      </c>
      <c r="K1226" t="s">
        <v>61</v>
      </c>
      <c r="L1226">
        <v>28027</v>
      </c>
      <c r="M1226" t="s">
        <v>26</v>
      </c>
      <c r="N1226" t="s">
        <v>1464</v>
      </c>
      <c r="O1226" t="s">
        <v>28</v>
      </c>
      <c r="P1226" t="s">
        <v>49</v>
      </c>
      <c r="Q1226" t="s">
        <v>1465</v>
      </c>
      <c r="R1226">
        <v>4297644</v>
      </c>
    </row>
    <row r="1227" spans="1:18" x14ac:dyDescent="0.3">
      <c r="A1227" t="s">
        <v>4642</v>
      </c>
      <c r="B1227" s="1">
        <v>42165</v>
      </c>
      <c r="C1227" s="1">
        <v>42170</v>
      </c>
      <c r="D1227" s="1">
        <v>42156</v>
      </c>
      <c r="E1227" t="s">
        <v>19</v>
      </c>
      <c r="F1227" t="s">
        <v>594</v>
      </c>
      <c r="G1227" t="s">
        <v>595</v>
      </c>
      <c r="H1227" t="s">
        <v>34</v>
      </c>
      <c r="I1227" t="s">
        <v>23</v>
      </c>
      <c r="J1227" t="s">
        <v>628</v>
      </c>
      <c r="K1227" t="s">
        <v>186</v>
      </c>
      <c r="L1227">
        <v>48234</v>
      </c>
      <c r="M1227" t="s">
        <v>79</v>
      </c>
      <c r="N1227" t="s">
        <v>2597</v>
      </c>
      <c r="O1227" t="s">
        <v>39</v>
      </c>
      <c r="P1227" t="s">
        <v>40</v>
      </c>
      <c r="Q1227" t="s">
        <v>2598</v>
      </c>
      <c r="R1227">
        <v>49155</v>
      </c>
    </row>
    <row r="1228" spans="1:18" x14ac:dyDescent="0.3">
      <c r="A1228" t="s">
        <v>4643</v>
      </c>
      <c r="B1228" s="1">
        <v>43019</v>
      </c>
      <c r="C1228" s="1">
        <v>43023</v>
      </c>
      <c r="D1228" s="1">
        <v>43009</v>
      </c>
      <c r="E1228" t="s">
        <v>43</v>
      </c>
      <c r="F1228" t="s">
        <v>1190</v>
      </c>
      <c r="G1228" t="s">
        <v>1191</v>
      </c>
      <c r="H1228" t="s">
        <v>22</v>
      </c>
      <c r="I1228" t="s">
        <v>23</v>
      </c>
      <c r="J1228" t="s">
        <v>225</v>
      </c>
      <c r="K1228" t="s">
        <v>160</v>
      </c>
      <c r="L1228">
        <v>60610</v>
      </c>
      <c r="M1228" t="s">
        <v>79</v>
      </c>
      <c r="N1228" t="s">
        <v>4644</v>
      </c>
      <c r="O1228" t="s">
        <v>39</v>
      </c>
      <c r="P1228" t="s">
        <v>103</v>
      </c>
      <c r="Q1228" t="s">
        <v>4645</v>
      </c>
      <c r="R1228">
        <v>5344</v>
      </c>
    </row>
    <row r="1229" spans="1:18" x14ac:dyDescent="0.3">
      <c r="A1229" t="s">
        <v>4646</v>
      </c>
      <c r="B1229" s="1">
        <v>42173</v>
      </c>
      <c r="C1229" s="1">
        <v>42178</v>
      </c>
      <c r="D1229" s="1">
        <v>42156</v>
      </c>
      <c r="E1229" t="s">
        <v>43</v>
      </c>
      <c r="F1229" t="s">
        <v>2516</v>
      </c>
      <c r="G1229" t="s">
        <v>2517</v>
      </c>
      <c r="H1229" t="s">
        <v>22</v>
      </c>
      <c r="I1229" t="s">
        <v>23</v>
      </c>
      <c r="J1229" t="s">
        <v>35</v>
      </c>
      <c r="K1229" t="s">
        <v>36</v>
      </c>
      <c r="L1229">
        <v>90036</v>
      </c>
      <c r="M1229" t="s">
        <v>37</v>
      </c>
      <c r="N1229" t="s">
        <v>4647</v>
      </c>
      <c r="O1229" t="s">
        <v>147</v>
      </c>
      <c r="P1229" t="s">
        <v>148</v>
      </c>
      <c r="Q1229" t="s">
        <v>4648</v>
      </c>
      <c r="R1229">
        <v>1398</v>
      </c>
    </row>
    <row r="1230" spans="1:18" x14ac:dyDescent="0.3">
      <c r="A1230" t="s">
        <v>4649</v>
      </c>
      <c r="B1230" s="1">
        <v>43159</v>
      </c>
      <c r="C1230" s="1">
        <v>43165</v>
      </c>
      <c r="D1230" s="1">
        <v>43132</v>
      </c>
      <c r="E1230" t="s">
        <v>43</v>
      </c>
      <c r="F1230" t="s">
        <v>4328</v>
      </c>
      <c r="G1230" t="s">
        <v>4329</v>
      </c>
      <c r="H1230" t="s">
        <v>22</v>
      </c>
      <c r="I1230" t="s">
        <v>23</v>
      </c>
      <c r="J1230" t="s">
        <v>2224</v>
      </c>
      <c r="K1230" t="s">
        <v>539</v>
      </c>
      <c r="L1230">
        <v>6457</v>
      </c>
      <c r="M1230" t="s">
        <v>117</v>
      </c>
      <c r="N1230" t="s">
        <v>2826</v>
      </c>
      <c r="O1230" t="s">
        <v>39</v>
      </c>
      <c r="P1230" t="s">
        <v>71</v>
      </c>
      <c r="Q1230" t="s">
        <v>2827</v>
      </c>
      <c r="R1230">
        <v>984</v>
      </c>
    </row>
    <row r="1231" spans="1:18" x14ac:dyDescent="0.3">
      <c r="A1231" t="s">
        <v>4650</v>
      </c>
      <c r="B1231" s="1">
        <v>42499</v>
      </c>
      <c r="C1231" s="1">
        <v>42503</v>
      </c>
      <c r="D1231" s="1">
        <v>42491</v>
      </c>
      <c r="E1231" t="s">
        <v>43</v>
      </c>
      <c r="F1231" t="s">
        <v>1334</v>
      </c>
      <c r="G1231" t="s">
        <v>1335</v>
      </c>
      <c r="H1231" t="s">
        <v>22</v>
      </c>
      <c r="I1231" t="s">
        <v>23</v>
      </c>
      <c r="J1231" t="s">
        <v>978</v>
      </c>
      <c r="K1231" t="s">
        <v>25</v>
      </c>
      <c r="L1231">
        <v>40214</v>
      </c>
      <c r="M1231" t="s">
        <v>26</v>
      </c>
      <c r="N1231" t="s">
        <v>4651</v>
      </c>
      <c r="O1231" t="s">
        <v>39</v>
      </c>
      <c r="P1231" t="s">
        <v>71</v>
      </c>
      <c r="Q1231" t="s">
        <v>4652</v>
      </c>
      <c r="R1231">
        <v>4881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A7A-90E7-4FAD-882A-210D6115A193}">
  <dimension ref="A1:B6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12.5546875" bestFit="1" customWidth="1"/>
  </cols>
  <sheetData>
    <row r="1" spans="1:2" x14ac:dyDescent="0.3">
      <c r="A1" t="s">
        <v>4653</v>
      </c>
      <c r="B1" t="s">
        <v>4654</v>
      </c>
    </row>
    <row r="2" spans="1:2" x14ac:dyDescent="0.3">
      <c r="A2" t="s">
        <v>4659</v>
      </c>
      <c r="B2" s="2">
        <f>ROWS(Sales_Data[Order ID])</f>
        <v>1230</v>
      </c>
    </row>
    <row r="3" spans="1:2" x14ac:dyDescent="0.3">
      <c r="A3" t="s">
        <v>4655</v>
      </c>
      <c r="B3" s="2">
        <f>SUM(Sales_Data[Sales])</f>
        <v>159618202</v>
      </c>
    </row>
    <row r="4" spans="1:2" x14ac:dyDescent="0.3">
      <c r="A4" t="s">
        <v>4656</v>
      </c>
      <c r="B4">
        <f>AVERAGE(Sales_Data[Sales])</f>
        <v>129770.89593495935</v>
      </c>
    </row>
    <row r="5" spans="1:2" x14ac:dyDescent="0.3">
      <c r="A5" t="s">
        <v>4657</v>
      </c>
      <c r="B5">
        <f>MAX(Sales_Data[Sales])</f>
        <v>11199968</v>
      </c>
    </row>
    <row r="6" spans="1:2" ht="15" x14ac:dyDescent="0.35">
      <c r="A6" t="s">
        <v>4658</v>
      </c>
      <c r="B6" s="3">
        <f>MIN(Sales_Data[Sales])</f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A84E-EB83-4571-9FFC-DC01C9042CE4}">
  <dimension ref="A3:B7"/>
  <sheetViews>
    <sheetView topLeftCell="A4" workbookViewId="0">
      <selection activeCell="H18" sqref="H18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4" t="s">
        <v>4660</v>
      </c>
      <c r="B3" t="s">
        <v>4662</v>
      </c>
    </row>
    <row r="4" spans="1:2" x14ac:dyDescent="0.3">
      <c r="A4" s="5" t="s">
        <v>28</v>
      </c>
      <c r="B4">
        <v>83769193</v>
      </c>
    </row>
    <row r="5" spans="1:2" x14ac:dyDescent="0.3">
      <c r="A5" s="5" t="s">
        <v>39</v>
      </c>
      <c r="B5">
        <v>24278682</v>
      </c>
    </row>
    <row r="6" spans="1:2" x14ac:dyDescent="0.3">
      <c r="A6" s="5" t="s">
        <v>147</v>
      </c>
      <c r="B6">
        <v>51570327</v>
      </c>
    </row>
    <row r="7" spans="1:2" x14ac:dyDescent="0.3">
      <c r="A7" s="5" t="s">
        <v>4661</v>
      </c>
      <c r="B7">
        <v>159618202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5C89D-06CE-4824-8CED-BBA77B67B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 wise Pivot</vt:lpstr>
      <vt:lpstr>Category wise sales Analysis</vt:lpstr>
      <vt:lpstr>Monthly Sales Trend</vt:lpstr>
      <vt:lpstr>Customer Segment wise sales</vt:lpstr>
      <vt:lpstr>DASHBOARD</vt:lpstr>
      <vt:lpstr>Cleaned Data</vt:lpstr>
      <vt:lpstr>EDA Analysis</vt:lpstr>
      <vt:lpstr>Category wise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Mithlesh Yadav</dc:creator>
  <cp:lastModifiedBy>Mithlesh Yadav</cp:lastModifiedBy>
  <dcterms:created xsi:type="dcterms:W3CDTF">2026-10-19T15:50:07Z</dcterms:created>
  <dcterms:modified xsi:type="dcterms:W3CDTF">2026-10-25T10:30:00Z</dcterms:modified>
</cp:coreProperties>
</file>